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Dashboard" sheetId="2" state="visible" r:id="rId2"/>
    <sheet xmlns:r="http://schemas.openxmlformats.org/officeDocument/2006/relationships" name="Legend" sheetId="3" state="visible" r:id="rId3"/>
  </sheets>
  <definedNames>
    <definedName name="_xlnm._FilterDatabase" localSheetId="0" hidden="1">'Backlog'!$A$2:$L$69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color rgb="00FFFFFF"/>
      <sz val="11"/>
    </font>
    <font>
      <b val="1"/>
      <color rgb="001F2A44"/>
      <sz val="11"/>
    </font>
    <font>
      <b val="1"/>
      <color rgb="00FFFFFF"/>
    </font>
    <font>
      <b val="1"/>
    </font>
  </fonts>
  <fills count="10">
    <fill>
      <patternFill/>
    </fill>
    <fill>
      <patternFill patternType="gray125"/>
    </fill>
    <fill>
      <patternFill patternType="solid">
        <fgColor rgb="001F2A44"/>
      </patternFill>
    </fill>
    <fill>
      <patternFill patternType="solid">
        <fgColor rgb="002F5597"/>
      </patternFill>
    </fill>
    <fill>
      <patternFill patternType="solid">
        <fgColor rgb="00D9E1F2"/>
      </patternFill>
    </fill>
    <fill>
      <patternFill patternType="solid">
        <fgColor rgb="00C00000"/>
      </patternFill>
    </fill>
    <fill>
      <patternFill patternType="solid">
        <fgColor rgb="00F2F5FB"/>
      </patternFill>
    </fill>
    <fill>
      <patternFill patternType="solid">
        <fgColor rgb="00ED7D31"/>
      </patternFill>
    </fill>
    <fill>
      <patternFill patternType="solid">
        <fgColor rgb="00FFC000"/>
      </patternFill>
    </fill>
    <fill>
      <patternFill patternType="solid">
        <fgColor rgb="0070AD4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wrapText="1"/>
    </xf>
    <xf numFmtId="0" fontId="3" fillId="4"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1" applyAlignment="1" pivotButton="0" quotePrefix="0" xfId="0">
      <alignmen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1" fillId="2" borderId="0" pivotButton="0" quotePrefix="0" xfId="0"/>
    <xf numFmtId="0" fontId="5" fillId="0" borderId="0" pivotButton="0" quotePrefix="0" xfId="0"/>
    <xf numFmtId="0" fontId="0" fillId="0" borderId="1" pivotButton="0" quotePrefix="0" xfId="0"/>
    <xf numFmtId="9" fontId="0" fillId="0" borderId="0" pivotButton="0" quotePrefix="0" xfId="0"/>
    <xf numFmtId="0" fontId="0" fillId="0" borderId="0" applyAlignment="1" pivotButton="0" quotePrefix="0" xfId="0">
      <alignment vertical="top" wrapText="1"/>
    </xf>
    <xf numFmtId="0" fontId="4" fillId="5" borderId="0" pivotButton="0" quotePrefix="0" xfId="0"/>
    <xf numFmtId="0" fontId="4" fillId="7" borderId="0" pivotButton="0" quotePrefix="0" xfId="0"/>
    <xf numFmtId="0" fontId="4" fillId="8" borderId="0" pivotButton="0" quotePrefix="0" xfId="0"/>
    <xf numFmtId="0" fontId="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
  <sheetViews>
    <sheetView showGridLines="0" workbookViewId="0">
      <pane ySplit="2" topLeftCell="A3" activePane="bottomLeft" state="frozen"/>
      <selection pane="bottomLeft" activeCell="A1" sqref="A1"/>
    </sheetView>
  </sheetViews>
  <sheetFormatPr baseColWidth="8" defaultRowHeight="15"/>
  <cols>
    <col width="10" customWidth="1" min="1" max="1"/>
    <col width="9" customWidth="1" min="2" max="2"/>
    <col width="16" customWidth="1" min="3" max="3"/>
    <col width="40" customWidth="1" min="4" max="4"/>
    <col width="13" customWidth="1" min="5" max="5"/>
    <col width="9" customWidth="1" min="6" max="6"/>
    <col width="34" customWidth="1" min="7" max="7"/>
    <col width="46" customWidth="1" min="8" max="8"/>
    <col width="30" customWidth="1" min="9" max="9"/>
    <col width="14" customWidth="1" min="10" max="10"/>
    <col width="12" customWidth="1" min="11" max="11"/>
    <col width="22" customWidth="1" min="12" max="12"/>
  </cols>
  <sheetData>
    <row r="1" ht="26" customHeight="1">
      <c r="A1" s="1" t="inlineStr">
        <is>
          <t>Riviso — Production Hardening &amp; Scale Tracker (Target ~50 users)</t>
        </is>
      </c>
    </row>
    <row r="2">
      <c r="A2" s="2" t="inlineStr">
        <is>
          <t>Phase</t>
        </is>
      </c>
      <c r="B2" s="2" t="inlineStr">
        <is>
          <t>ID</t>
        </is>
      </c>
      <c r="C2" s="2" t="inlineStr">
        <is>
          <t>Category</t>
        </is>
      </c>
      <c r="D2" s="2" t="inlineStr">
        <is>
          <t>Item</t>
        </is>
      </c>
      <c r="E2" s="2" t="inlineStr">
        <is>
          <t>Severity / Priority</t>
        </is>
      </c>
      <c r="F2" s="2" t="inlineStr">
        <is>
          <t>Effort</t>
        </is>
      </c>
      <c r="G2" s="2" t="inlineStr">
        <is>
          <t>Evidence (file:line)</t>
        </is>
      </c>
      <c r="H2" s="2" t="inlineStr">
        <is>
          <t>Fix / Action</t>
        </is>
      </c>
      <c r="I2" s="2" t="inlineStr">
        <is>
          <t>Verification</t>
        </is>
      </c>
      <c r="J2" s="2" t="inlineStr">
        <is>
          <t>Status</t>
        </is>
      </c>
      <c r="K2" s="2" t="inlineStr">
        <is>
          <t>Owner</t>
        </is>
      </c>
      <c r="L2" s="2" t="inlineStr">
        <is>
          <t>Notes</t>
        </is>
      </c>
    </row>
    <row r="3" ht="20" customHeight="1">
      <c r="A3" s="3" t="inlineStr">
        <is>
          <t>PHASE 0 — Critical Security (stop-the-bleed)</t>
        </is>
      </c>
    </row>
    <row r="4">
      <c r="A4" s="4" t="inlineStr">
        <is>
          <t>P0</t>
        </is>
      </c>
      <c r="B4" s="4" t="inlineStr">
        <is>
          <t>S0.1</t>
        </is>
      </c>
      <c r="C4" s="5" t="inlineStr">
        <is>
          <t>Security</t>
        </is>
      </c>
      <c r="D4" s="5" t="inlineStr">
        <is>
          <t>Fail-fast on placeholder/short SECRET_KEY in production</t>
        </is>
      </c>
      <c r="E4" s="6" t="inlineStr">
        <is>
          <t>Critical</t>
        </is>
      </c>
      <c r="F4" s="4" t="inlineStr">
        <is>
          <t>S</t>
        </is>
      </c>
      <c r="G4" s="5" t="inlineStr">
        <is>
          <t>core/config.py:47-49; core/production.py:67-71</t>
        </is>
      </c>
      <c r="H4" s="5" t="inlineStr">
        <is>
          <t>Raise at startup if ENVIRONMENT=production and key is default or &lt;32 chars</t>
        </is>
      </c>
      <c r="I4" s="5" t="inlineStr">
        <is>
          <t>Boot with bad key exits non-zero</t>
        </is>
      </c>
      <c r="J4" s="4" t="inlineStr">
        <is>
          <t>Not Started</t>
        </is>
      </c>
      <c r="K4" s="5" t="inlineStr"/>
      <c r="L4" s="5" t="inlineStr"/>
    </row>
    <row r="5">
      <c r="A5" s="7" t="inlineStr">
        <is>
          <t>P0</t>
        </is>
      </c>
      <c r="B5" s="7" t="inlineStr">
        <is>
          <t>S0.2</t>
        </is>
      </c>
      <c r="C5" s="8" t="inlineStr">
        <is>
          <t>Security</t>
        </is>
      </c>
      <c r="D5" s="8" t="inlineStr">
        <is>
          <t>Remove hardcoded admin seed 'Admin@2026'</t>
        </is>
      </c>
      <c r="E5" s="6" t="inlineStr">
        <is>
          <t>Critical</t>
        </is>
      </c>
      <c r="F5" s="7" t="inlineStr">
        <is>
          <t>S</t>
        </is>
      </c>
      <c r="G5" s="8" t="inlineStr">
        <is>
          <t>app.py:52-78</t>
        </is>
      </c>
      <c r="H5" s="8" t="inlineStr">
        <is>
          <t>Delete seed; env-gated one-time bootstrap CLI</t>
        </is>
      </c>
      <c r="I5" s="8" t="inlineStr">
        <is>
          <t>grep finds no literal password; fresh DB has no default admin</t>
        </is>
      </c>
      <c r="J5" s="7" t="inlineStr">
        <is>
          <t>Not Started</t>
        </is>
      </c>
      <c r="K5" s="8" t="inlineStr"/>
      <c r="L5" s="8" t="inlineStr"/>
    </row>
    <row r="6">
      <c r="A6" s="4" t="inlineStr">
        <is>
          <t>P0</t>
        </is>
      </c>
      <c r="B6" s="4" t="inlineStr">
        <is>
          <t>S0.3</t>
        </is>
      </c>
      <c r="C6" s="5" t="inlineStr">
        <is>
          <t>Security</t>
        </is>
      </c>
      <c r="D6" s="5" t="inlineStr">
        <is>
          <t>Stop returning WordPress app password in API responses</t>
        </is>
      </c>
      <c r="E6" s="9" t="inlineStr">
        <is>
          <t>High</t>
        </is>
      </c>
      <c r="F6" s="4" t="inlineStr">
        <is>
          <t>S</t>
        </is>
      </c>
      <c r="G6" s="5" t="inlineStr">
        <is>
          <t>routes/wordpress.py:537,584-585; schemas/project_settings.py:34-36</t>
        </is>
      </c>
      <c r="H6" s="5" t="inlineStr">
        <is>
          <t>Return wp_app_password_set: bool only</t>
        </is>
      </c>
      <c r="I6" s="5" t="inlineStr">
        <is>
          <t>Response JSON contains no secret</t>
        </is>
      </c>
      <c r="J6" s="4" t="inlineStr">
        <is>
          <t>Not Started</t>
        </is>
      </c>
      <c r="K6" s="5" t="inlineStr"/>
      <c r="L6" s="5" t="inlineStr"/>
    </row>
    <row r="7">
      <c r="A7" s="7" t="inlineStr">
        <is>
          <t>P0</t>
        </is>
      </c>
      <c r="B7" s="7" t="inlineStr">
        <is>
          <t>S0.4</t>
        </is>
      </c>
      <c r="C7" s="8" t="inlineStr">
        <is>
          <t>Security</t>
        </is>
      </c>
      <c r="D7" s="8" t="inlineStr">
        <is>
          <t>Disallow MONGODB_TLS_INSECURE &amp; OAUTHLIB_INSECURE_TRANSPORT in prod</t>
        </is>
      </c>
      <c r="E7" s="9" t="inlineStr">
        <is>
          <t>High</t>
        </is>
      </c>
      <c r="F7" s="7" t="inlineStr">
        <is>
          <t>S</t>
        </is>
      </c>
      <c r="G7" s="8" t="inlineStr">
        <is>
          <t>database.py:88-93; app.py:33-36</t>
        </is>
      </c>
      <c r="H7" s="8" t="inlineStr">
        <is>
          <t>Startup check rejects insecure transport in production</t>
        </is>
      </c>
      <c r="I7" s="8" t="inlineStr">
        <is>
          <t>Prod boot fails if flags set</t>
        </is>
      </c>
      <c r="J7" s="7" t="inlineStr">
        <is>
          <t>Not Started</t>
        </is>
      </c>
      <c r="K7" s="8" t="inlineStr"/>
      <c r="L7" s="8" t="inlineStr"/>
    </row>
    <row r="8">
      <c r="A8" s="4" t="inlineStr">
        <is>
          <t>P0</t>
        </is>
      </c>
      <c r="B8" s="4" t="inlineStr">
        <is>
          <t>S0.5</t>
        </is>
      </c>
      <c r="C8" s="5" t="inlineStr">
        <is>
          <t>Security</t>
        </is>
      </c>
      <c r="D8" s="5" t="inlineStr">
        <is>
          <t>Confirm legacy Flask app.py is not deployed/reachable</t>
        </is>
      </c>
      <c r="E8" s="9" t="inlineStr">
        <is>
          <t>High</t>
        </is>
      </c>
      <c r="F8" s="4" t="inlineStr">
        <is>
          <t>M</t>
        </is>
      </c>
      <c r="G8" s="5" t="inlineStr">
        <is>
          <t>app.py (whole)</t>
        </is>
      </c>
      <c r="H8" s="5" t="inlineStr">
        <is>
          <t>Remove from deploy target or gate behind disabled flag</t>
        </is>
      </c>
      <c r="I8" s="5" t="inlineStr">
        <is>
          <t>No prod route served by Flask</t>
        </is>
      </c>
      <c r="J8" s="4" t="inlineStr">
        <is>
          <t>Not Started</t>
        </is>
      </c>
      <c r="K8" s="5" t="inlineStr"/>
      <c r="L8" s="5" t="inlineStr"/>
    </row>
    <row r="9" ht="20" customHeight="1">
      <c r="A9" s="3" t="inlineStr">
        <is>
          <t>PHASE 1 — Security Hardening</t>
        </is>
      </c>
    </row>
    <row r="10">
      <c r="A10" s="4" t="inlineStr">
        <is>
          <t>P1</t>
        </is>
      </c>
      <c r="B10" s="4" t="inlineStr">
        <is>
          <t>S1.1</t>
        </is>
      </c>
      <c r="C10" s="5" t="inlineStr">
        <is>
          <t>Security</t>
        </is>
      </c>
      <c r="D10" s="5" t="inlineStr">
        <is>
          <t>Refresh-token rotation + server-side invalidation</t>
        </is>
      </c>
      <c r="E10" s="9" t="inlineStr">
        <is>
          <t>High</t>
        </is>
      </c>
      <c r="F10" s="4" t="inlineStr">
        <is>
          <t>M</t>
        </is>
      </c>
      <c r="G10" s="5" t="inlineStr">
        <is>
          <t>routes/auth.py:700-790</t>
        </is>
      </c>
      <c r="H10" s="5" t="inlineStr">
        <is>
          <t>Issue new RT each refresh; track jti allow/deny list</t>
        </is>
      </c>
      <c r="I10" s="5" t="inlineStr">
        <is>
          <t>Reused old RT is rejected</t>
        </is>
      </c>
      <c r="J10" s="4" t="inlineStr">
        <is>
          <t>Not Started</t>
        </is>
      </c>
      <c r="K10" s="5" t="inlineStr"/>
      <c r="L10" s="5" t="inlineStr"/>
    </row>
    <row r="11">
      <c r="A11" s="7" t="inlineStr">
        <is>
          <t>P1</t>
        </is>
      </c>
      <c r="B11" s="7" t="inlineStr">
        <is>
          <t>S1.2</t>
        </is>
      </c>
      <c r="C11" s="8" t="inlineStr">
        <is>
          <t>Security</t>
        </is>
      </c>
      <c r="D11" s="8" t="inlineStr">
        <is>
          <t>Rate-limit /auth/refresh</t>
        </is>
      </c>
      <c r="E11" s="9" t="inlineStr">
        <is>
          <t>High</t>
        </is>
      </c>
      <c r="F11" s="7" t="inlineStr">
        <is>
          <t>S</t>
        </is>
      </c>
      <c r="G11" s="8" t="inlineStr">
        <is>
          <t>routes/auth.py:700</t>
        </is>
      </c>
      <c r="H11" s="8" t="inlineStr">
        <is>
          <t>@limiter.limit('20/minute')</t>
        </is>
      </c>
      <c r="I11" s="8" t="inlineStr">
        <is>
          <t>429 after threshold</t>
        </is>
      </c>
      <c r="J11" s="7" t="inlineStr">
        <is>
          <t>Not Started</t>
        </is>
      </c>
      <c r="K11" s="8" t="inlineStr"/>
      <c r="L11" s="8" t="inlineStr"/>
    </row>
    <row r="12">
      <c r="A12" s="4" t="inlineStr">
        <is>
          <t>P1</t>
        </is>
      </c>
      <c r="B12" s="4" t="inlineStr">
        <is>
          <t>S1.3</t>
        </is>
      </c>
      <c r="C12" s="5" t="inlineStr">
        <is>
          <t>Security</t>
        </is>
      </c>
      <c r="D12" s="5" t="inlineStr">
        <is>
          <t>Move JWT tokens out of localStorage to httpOnly cookies</t>
        </is>
      </c>
      <c r="E12" s="9" t="inlineStr">
        <is>
          <t>High</t>
        </is>
      </c>
      <c r="F12" s="4" t="inlineStr">
        <is>
          <t>M</t>
        </is>
      </c>
      <c r="G12" s="5" t="inlineStr">
        <is>
          <t>frontend/src/lib/api.ts:1038-1060,1282-1347</t>
        </is>
      </c>
      <c r="H12" s="5" t="inlineStr">
        <is>
          <t>Cookie-only auth; remove localStorage</t>
        </is>
      </c>
      <c r="I12" s="5" t="inlineStr">
        <is>
          <t>No tokens in localStorage; XSS cannot read</t>
        </is>
      </c>
      <c r="J12" s="4" t="inlineStr">
        <is>
          <t>Not Started</t>
        </is>
      </c>
      <c r="K12" s="5" t="inlineStr"/>
      <c r="L12" s="5" t="inlineStr"/>
    </row>
    <row r="13">
      <c r="A13" s="7" t="inlineStr">
        <is>
          <t>P1</t>
        </is>
      </c>
      <c r="B13" s="7" t="inlineStr">
        <is>
          <t>S1.4</t>
        </is>
      </c>
      <c r="C13" s="8" t="inlineStr">
        <is>
          <t>Security</t>
        </is>
      </c>
      <c r="D13" s="8" t="inlineStr">
        <is>
          <t>Cookie Secure default true in prod + max_age aligned to TTL</t>
        </is>
      </c>
      <c r="E13" s="10" t="inlineStr">
        <is>
          <t>Medium</t>
        </is>
      </c>
      <c r="F13" s="7" t="inlineStr">
        <is>
          <t>S</t>
        </is>
      </c>
      <c r="G13" s="8" t="inlineStr">
        <is>
          <t>core/config.py:53; routes/auth.py:127-163,772-788</t>
        </is>
      </c>
      <c r="H13" s="8" t="inlineStr">
        <is>
          <t>Secure+SameSite+expiry</t>
        </is>
      </c>
      <c r="I13" s="8" t="inlineStr">
        <is>
          <t>Cookies have Secure+expiry in prod</t>
        </is>
      </c>
      <c r="J13" s="7" t="inlineStr">
        <is>
          <t>Not Started</t>
        </is>
      </c>
      <c r="K13" s="8" t="inlineStr"/>
      <c r="L13" s="8" t="inlineStr"/>
    </row>
    <row r="14">
      <c r="A14" s="4" t="inlineStr">
        <is>
          <t>P1</t>
        </is>
      </c>
      <c r="B14" s="4" t="inlineStr">
        <is>
          <t>S1.5</t>
        </is>
      </c>
      <c r="C14" s="5" t="inlineStr">
        <is>
          <t>Security</t>
        </is>
      </c>
      <c r="D14" s="5" t="inlineStr">
        <is>
          <t>Account lockout after N failed logins</t>
        </is>
      </c>
      <c r="E14" s="10" t="inlineStr">
        <is>
          <t>Medium</t>
        </is>
      </c>
      <c r="F14" s="4" t="inlineStr">
        <is>
          <t>M</t>
        </is>
      </c>
      <c r="G14" s="5" t="inlineStr">
        <is>
          <t>routes/auth.py:187</t>
        </is>
      </c>
      <c r="H14" s="5" t="inlineStr">
        <is>
          <t>Per-email backoff/lockout</t>
        </is>
      </c>
      <c r="I14" s="5" t="inlineStr">
        <is>
          <t>Lockout triggers in test</t>
        </is>
      </c>
      <c r="J14" s="4" t="inlineStr">
        <is>
          <t>Not Started</t>
        </is>
      </c>
      <c r="K14" s="5" t="inlineStr"/>
      <c r="L14" s="5" t="inlineStr"/>
    </row>
    <row r="15">
      <c r="A15" s="7" t="inlineStr">
        <is>
          <t>P1</t>
        </is>
      </c>
      <c r="B15" s="7" t="inlineStr">
        <is>
          <t>S1.6a</t>
        </is>
      </c>
      <c r="C15" s="8" t="inlineStr">
        <is>
          <t>Security</t>
        </is>
      </c>
      <c r="D15" s="8" t="inlineStr">
        <is>
          <t>SSRF guard on WordPress URL fetch (block private/metadata IPs)</t>
        </is>
      </c>
      <c r="E15" s="9" t="inlineStr">
        <is>
          <t>High</t>
        </is>
      </c>
      <c r="F15" s="7" t="inlineStr">
        <is>
          <t>M</t>
        </is>
      </c>
      <c r="G15" s="8" t="inlineStr">
        <is>
          <t>routes/wordpress.py:140-146; services/wordpress_client.py:45-81</t>
        </is>
      </c>
      <c r="H15" s="8" t="inlineStr">
        <is>
          <t>URL allowlist + IP guard; restrict redirects</t>
        </is>
      </c>
      <c r="I15" s="8" t="inlineStr">
        <is>
          <t>Request to 169.254.169.254 / 10.x blocked</t>
        </is>
      </c>
      <c r="J15" s="7" t="inlineStr">
        <is>
          <t>Not Started</t>
        </is>
      </c>
      <c r="K15" s="8" t="inlineStr"/>
      <c r="L15" s="8" t="inlineStr"/>
    </row>
    <row r="16">
      <c r="A16" s="4" t="inlineStr">
        <is>
          <t>P1</t>
        </is>
      </c>
      <c r="B16" s="4" t="inlineStr">
        <is>
          <t>S1.6b</t>
        </is>
      </c>
      <c r="C16" s="5" t="inlineStr">
        <is>
          <t>Security</t>
        </is>
      </c>
      <c r="D16" s="5" t="inlineStr">
        <is>
          <t>SSRF guard on Shopify shop resolution</t>
        </is>
      </c>
      <c r="E16" s="9" t="inlineStr">
        <is>
          <t>High</t>
        </is>
      </c>
      <c r="F16" s="4" t="inlineStr">
        <is>
          <t>M</t>
        </is>
      </c>
      <c r="G16" s="5" t="inlineStr">
        <is>
          <t>services/shopify_oauth.py:132-137</t>
        </is>
      </c>
      <c r="H16" s="5" t="inlineStr">
        <is>
          <t>Require *.myshopify.com / Admin API only</t>
        </is>
      </c>
      <c r="I16" s="5" t="inlineStr">
        <is>
          <t>Non-shopify host rejected</t>
        </is>
      </c>
      <c r="J16" s="4" t="inlineStr">
        <is>
          <t>Not Started</t>
        </is>
      </c>
      <c r="K16" s="5" t="inlineStr"/>
      <c r="L16" s="5" t="inlineStr"/>
    </row>
    <row r="17">
      <c r="A17" s="7" t="inlineStr">
        <is>
          <t>P1</t>
        </is>
      </c>
      <c r="B17" s="7" t="inlineStr">
        <is>
          <t>S1.6c</t>
        </is>
      </c>
      <c r="C17" s="8" t="inlineStr">
        <is>
          <t>Security</t>
        </is>
      </c>
      <c r="D17" s="8" t="inlineStr">
        <is>
          <t>SSRF guard on featured-image + OpenAI ref-image download</t>
        </is>
      </c>
      <c r="E17" s="9" t="inlineStr">
        <is>
          <t>High</t>
        </is>
      </c>
      <c r="F17" s="7" t="inlineStr">
        <is>
          <t>M</t>
        </is>
      </c>
      <c r="G17" s="8" t="inlineStr">
        <is>
          <t>services/wordpress_client.py:231-237; services/shopify_article_image.py:47-61; services/openai_client.py:175-178</t>
        </is>
      </c>
      <c r="H17" s="8" t="inlineStr">
        <is>
          <t>HTTPS host allowlist / data-URL only</t>
        </is>
      </c>
      <c r="I17" s="8" t="inlineStr">
        <is>
          <t>Internal IP fetch blocked</t>
        </is>
      </c>
      <c r="J17" s="7" t="inlineStr">
        <is>
          <t>Not Started</t>
        </is>
      </c>
      <c r="K17" s="8" t="inlineStr"/>
      <c r="L17" s="8" t="inlineStr"/>
    </row>
    <row r="18">
      <c r="A18" s="4" t="inlineStr">
        <is>
          <t>P1</t>
        </is>
      </c>
      <c r="B18" s="4" t="inlineStr">
        <is>
          <t>S1.7</t>
        </is>
      </c>
      <c r="C18" s="5" t="inlineStr">
        <is>
          <t>Security</t>
        </is>
      </c>
      <c r="D18" s="5" t="inlineStr">
        <is>
          <t>CSRF protection for cookie auth</t>
        </is>
      </c>
      <c r="E18" s="10" t="inlineStr">
        <is>
          <t>Medium</t>
        </is>
      </c>
      <c r="F18" s="4" t="inlineStr">
        <is>
          <t>M</t>
        </is>
      </c>
      <c r="G18" s="5" t="inlineStr">
        <is>
          <t>core/deps.py:38-46</t>
        </is>
      </c>
      <c r="H18" s="5" t="inlineStr">
        <is>
          <t>Require X-Requested-With on mutations or SameSite=Strict</t>
        </is>
      </c>
      <c r="I18" s="5" t="inlineStr">
        <is>
          <t>Cross-site POST without header rejected</t>
        </is>
      </c>
      <c r="J18" s="4" t="inlineStr">
        <is>
          <t>Not Started</t>
        </is>
      </c>
      <c r="K18" s="5" t="inlineStr"/>
      <c r="L18" s="5" t="inlineStr"/>
    </row>
    <row r="19">
      <c r="A19" s="7" t="inlineStr">
        <is>
          <t>P1</t>
        </is>
      </c>
      <c r="B19" s="7" t="inlineStr">
        <is>
          <t>S1.8</t>
        </is>
      </c>
      <c r="C19" s="8" t="inlineStr">
        <is>
          <t>Security</t>
        </is>
      </c>
      <c r="D19" s="8" t="inlineStr">
        <is>
          <t>Drop localhost origins from production CORS</t>
        </is>
      </c>
      <c r="E19" s="10" t="inlineStr">
        <is>
          <t>Medium</t>
        </is>
      </c>
      <c r="F19" s="7" t="inlineStr">
        <is>
          <t>S</t>
        </is>
      </c>
      <c r="G19" s="8" t="inlineStr">
        <is>
          <t>main.py:72-87,234-240</t>
        </is>
      </c>
      <c r="H19" s="8" t="inlineStr">
        <is>
          <t>Env-only strict allowlist in production</t>
        </is>
      </c>
      <c r="I19" s="8" t="inlineStr">
        <is>
          <t>Prod CORS excludes localhost</t>
        </is>
      </c>
      <c r="J19" s="7" t="inlineStr">
        <is>
          <t>Not Started</t>
        </is>
      </c>
      <c r="K19" s="8" t="inlineStr"/>
      <c r="L19" s="8" t="inlineStr"/>
    </row>
    <row r="20">
      <c r="A20" s="4" t="inlineStr">
        <is>
          <t>P1</t>
        </is>
      </c>
      <c r="B20" s="4" t="inlineStr">
        <is>
          <t>S1.9</t>
        </is>
      </c>
      <c r="C20" s="5" t="inlineStr">
        <is>
          <t>Security</t>
        </is>
      </c>
      <c r="D20" s="5" t="inlineStr">
        <is>
          <t>Rate-limit expensive endpoints (generate/bulk-upload/publish/research)</t>
        </is>
      </c>
      <c r="E20" s="10" t="inlineStr">
        <is>
          <t>Medium</t>
        </is>
      </c>
      <c r="F20" s="4" t="inlineStr">
        <is>
          <t>M</t>
        </is>
      </c>
      <c r="G20" s="5" t="inlineStr">
        <is>
          <t>core/ratelimit.py:13</t>
        </is>
      </c>
      <c r="H20" s="5" t="inlineStr">
        <is>
          <t>Per-user limits on OpenAI-backed routes</t>
        </is>
      </c>
      <c r="I20" s="5" t="inlineStr">
        <is>
          <t>429 after threshold per user</t>
        </is>
      </c>
      <c r="J20" s="4" t="inlineStr">
        <is>
          <t>Not Started</t>
        </is>
      </c>
      <c r="K20" s="5" t="inlineStr"/>
      <c r="L20" s="5" t="inlineStr"/>
    </row>
    <row r="21">
      <c r="A21" s="7" t="inlineStr">
        <is>
          <t>P1</t>
        </is>
      </c>
      <c r="B21" s="7" t="inlineStr">
        <is>
          <t>S1.10</t>
        </is>
      </c>
      <c r="C21" s="8" t="inlineStr">
        <is>
          <t>Security</t>
        </is>
      </c>
      <c r="D21" s="8" t="inlineStr">
        <is>
          <t>Trust-proxy config so rate-limit key is not XFF-spoofable</t>
        </is>
      </c>
      <c r="E21" s="10" t="inlineStr">
        <is>
          <t>Medium</t>
        </is>
      </c>
      <c r="F21" s="7" t="inlineStr">
        <is>
          <t>S</t>
        </is>
      </c>
      <c r="G21" s="8" t="inlineStr">
        <is>
          <t>core/ratelimit.py:11-13</t>
        </is>
      </c>
      <c r="H21" s="8" t="inlineStr">
        <is>
          <t>Configure trusted proxy or key by user id</t>
        </is>
      </c>
      <c r="I21" s="8" t="inlineStr">
        <is>
          <t>Spoofed XFF does not bypass limit</t>
        </is>
      </c>
      <c r="J21" s="7" t="inlineStr">
        <is>
          <t>Not Started</t>
        </is>
      </c>
      <c r="K21" s="8" t="inlineStr"/>
      <c r="L21" s="8" t="inlineStr"/>
    </row>
    <row r="22">
      <c r="A22" s="4" t="inlineStr">
        <is>
          <t>P1</t>
        </is>
      </c>
      <c r="B22" s="4" t="inlineStr">
        <is>
          <t>S1.11</t>
        </is>
      </c>
      <c r="C22" s="5" t="inlineStr">
        <is>
          <t>Security</t>
        </is>
      </c>
      <c r="D22" s="5" t="inlineStr">
        <is>
          <t>Split public liveness from detailed readiness /health</t>
        </is>
      </c>
      <c r="E22" s="10" t="inlineStr">
        <is>
          <t>Medium</t>
        </is>
      </c>
      <c r="F22" s="4" t="inlineStr">
        <is>
          <t>S</t>
        </is>
      </c>
      <c r="G22" s="5" t="inlineStr">
        <is>
          <t>routes/health.py:49-60</t>
        </is>
      </c>
      <c r="H22" s="5" t="inlineStr">
        <is>
          <t>Public {status:ok}; detail behind auth</t>
        </is>
      </c>
      <c r="I22" s="5" t="inlineStr">
        <is>
          <t>Anon /health leaks no internals</t>
        </is>
      </c>
      <c r="J22" s="4" t="inlineStr">
        <is>
          <t>Not Started</t>
        </is>
      </c>
      <c r="K22" s="5" t="inlineStr"/>
      <c r="L22" s="5" t="inlineStr"/>
    </row>
    <row r="23">
      <c r="A23" s="7" t="inlineStr">
        <is>
          <t>P1</t>
        </is>
      </c>
      <c r="B23" s="7" t="inlineStr">
        <is>
          <t>S1.12</t>
        </is>
      </c>
      <c r="C23" s="8" t="inlineStr">
        <is>
          <t>Security</t>
        </is>
      </c>
      <c r="D23" s="8" t="inlineStr">
        <is>
          <t>Close plan bypasses: humanize + export-consume</t>
        </is>
      </c>
      <c r="E23" s="10" t="inlineStr">
        <is>
          <t>Medium</t>
        </is>
      </c>
      <c r="F23" s="7" t="inlineStr">
        <is>
          <t>M</t>
        </is>
      </c>
      <c r="G23" s="8" t="inlineStr">
        <is>
          <t>routes/articles.py:1723; routes/articles.py:901-936</t>
        </is>
      </c>
      <c r="H23" s="8" t="inlineStr">
        <is>
          <t>Add require_plan_action; server-side export gating</t>
        </is>
      </c>
      <c r="I23" s="8" t="inlineStr">
        <is>
          <t>Over-quota humanize/export blocked</t>
        </is>
      </c>
      <c r="J23" s="7" t="inlineStr">
        <is>
          <t>Not Started</t>
        </is>
      </c>
      <c r="K23" s="8" t="inlineStr"/>
      <c r="L23" s="8" t="inlineStr"/>
    </row>
    <row r="24">
      <c r="A24" s="4" t="inlineStr">
        <is>
          <t>P1</t>
        </is>
      </c>
      <c r="B24" s="4" t="inlineStr">
        <is>
          <t>S1.13</t>
        </is>
      </c>
      <c r="C24" s="5" t="inlineStr">
        <is>
          <t>Security</t>
        </is>
      </c>
      <c r="D24" s="5" t="inlineStr">
        <is>
          <t>Authenticate WordPress plugin ZIP download</t>
        </is>
      </c>
      <c r="E24" s="10" t="inlineStr">
        <is>
          <t>Medium</t>
        </is>
      </c>
      <c r="F24" s="4" t="inlineStr">
        <is>
          <t>S</t>
        </is>
      </c>
      <c r="G24" s="5" t="inlineStr">
        <is>
          <t>routes/wordpress.py:508-527</t>
        </is>
      </c>
      <c r="H24" s="5" t="inlineStr">
        <is>
          <t>Require auth or signed token</t>
        </is>
      </c>
      <c r="I24" s="5" t="inlineStr">
        <is>
          <t>Anon download returns 401</t>
        </is>
      </c>
      <c r="J24" s="4" t="inlineStr">
        <is>
          <t>Not Started</t>
        </is>
      </c>
      <c r="K24" s="5" t="inlineStr"/>
      <c r="L24" s="5" t="inlineStr"/>
    </row>
    <row r="25">
      <c r="A25" s="7" t="inlineStr">
        <is>
          <t>P1</t>
        </is>
      </c>
      <c r="B25" s="7" t="inlineStr">
        <is>
          <t>S1.14</t>
        </is>
      </c>
      <c r="C25" s="8" t="inlineStr">
        <is>
          <t>Security</t>
        </is>
      </c>
      <c r="D25" s="8" t="inlineStr">
        <is>
          <t>Add Next.js security headers</t>
        </is>
      </c>
      <c r="E25" s="11" t="inlineStr">
        <is>
          <t>Low</t>
        </is>
      </c>
      <c r="F25" s="7" t="inlineStr">
        <is>
          <t>S</t>
        </is>
      </c>
      <c r="G25" s="8" t="inlineStr">
        <is>
          <t>frontend/next.config.ts:15-27</t>
        </is>
      </c>
      <c r="H25" s="8" t="inlineStr">
        <is>
          <t>headers() with HSTS/CSP/X-Frame</t>
        </is>
      </c>
      <c r="I25" s="8" t="inlineStr">
        <is>
          <t>Headers present on frontend responses</t>
        </is>
      </c>
      <c r="J25" s="7" t="inlineStr">
        <is>
          <t>Not Started</t>
        </is>
      </c>
      <c r="K25" s="8" t="inlineStr"/>
      <c r="L25" s="8" t="inlineStr"/>
    </row>
    <row r="26" ht="20" customHeight="1">
      <c r="A26" s="3" t="inlineStr">
        <is>
          <t>PHASE 2 — Performance Quick Wins</t>
        </is>
      </c>
    </row>
    <row r="27">
      <c r="A27" s="4" t="inlineStr">
        <is>
          <t>P2</t>
        </is>
      </c>
      <c r="B27" s="4" t="inlineStr">
        <is>
          <t>P2.1</t>
        </is>
      </c>
      <c r="C27" s="5" t="inlineStr">
        <is>
          <t>Performance</t>
        </is>
      </c>
      <c r="D27" s="5" t="inlineStr">
        <is>
          <t>Request-scoped cache for user/subscription/plan</t>
        </is>
      </c>
      <c r="E27" s="9" t="inlineStr">
        <is>
          <t>High</t>
        </is>
      </c>
      <c r="F27" s="4" t="inlineStr">
        <is>
          <t>M</t>
        </is>
      </c>
      <c r="G27" s="5" t="inlineStr">
        <is>
          <t>core/deps.py:58-60; middleware/plan_limits.py:79-90; services/plan_gatekeeper.py:92-97</t>
        </is>
      </c>
      <c r="H27" s="5" t="inlineStr">
        <is>
          <t>Attach to request.state; gatekeeper reads it</t>
        </is>
      </c>
      <c r="I27" s="5" t="inlineStr">
        <is>
          <t>1 user read per request (not 3-5)</t>
        </is>
      </c>
      <c r="J27" s="4" t="inlineStr">
        <is>
          <t>Not Started</t>
        </is>
      </c>
      <c r="K27" s="5" t="inlineStr"/>
      <c r="L27" s="5" t="inlineStr"/>
    </row>
    <row r="28">
      <c r="A28" s="7" t="inlineStr">
        <is>
          <t>P2</t>
        </is>
      </c>
      <c r="B28" s="7" t="inlineStr">
        <is>
          <t>P2.2</t>
        </is>
      </c>
      <c r="C28" s="8" t="inlineStr">
        <is>
          <t>Performance</t>
        </is>
      </c>
      <c r="D28" s="8" t="inlineStr">
        <is>
          <t>TTL cache for load_plans()</t>
        </is>
      </c>
      <c r="E28" s="10" t="inlineStr">
        <is>
          <t>Medium</t>
        </is>
      </c>
      <c r="F28" s="7" t="inlineStr">
        <is>
          <t>S</t>
        </is>
      </c>
      <c r="G28" s="8" t="inlineStr">
        <is>
          <t>storage.py:1205; services/plan_gatekeeper.py:49-58</t>
        </is>
      </c>
      <c r="H28" s="8" t="inlineStr">
        <is>
          <t>Module cache ~60s invalidated on upsert_plan</t>
        </is>
      </c>
      <c r="I28" s="8" t="inlineStr">
        <is>
          <t>Plans read once per TTL window</t>
        </is>
      </c>
      <c r="J28" s="7" t="inlineStr">
        <is>
          <t>Not Started</t>
        </is>
      </c>
      <c r="K28" s="8" t="inlineStr"/>
      <c r="L28" s="8" t="inlineStr"/>
    </row>
    <row r="29">
      <c r="A29" s="4" t="inlineStr">
        <is>
          <t>P2</t>
        </is>
      </c>
      <c r="B29" s="4" t="inlineStr">
        <is>
          <t>P2.3</t>
        </is>
      </c>
      <c r="C29" s="5" t="inlineStr">
        <is>
          <t>Performance</t>
        </is>
      </c>
      <c r="D29" s="5" t="inlineStr">
        <is>
          <t>Wrap all sync storage in run_sync on hot async paths</t>
        </is>
      </c>
      <c r="E29" s="9" t="inlineStr">
        <is>
          <t>High</t>
        </is>
      </c>
      <c r="F29" s="4" t="inlineStr">
        <is>
          <t>M</t>
        </is>
      </c>
      <c r="G29" s="5" t="inlineStr">
        <is>
          <t>core/deps.py:58-60; core/project_lookup.py:27-45; routes/wordpress.py:470</t>
        </is>
      </c>
      <c r="H29" s="5" t="inlineStr">
        <is>
          <t>await run_sync(...) everywhere</t>
        </is>
      </c>
      <c r="I29" s="5" t="inlineStr">
        <is>
          <t>No sync PyMongo on event loop (profiler)</t>
        </is>
      </c>
      <c r="J29" s="4" t="inlineStr">
        <is>
          <t>Not Started</t>
        </is>
      </c>
      <c r="K29" s="5" t="inlineStr"/>
      <c r="L29" s="5" t="inlineStr"/>
    </row>
    <row r="30">
      <c r="A30" s="7" t="inlineStr">
        <is>
          <t>P2</t>
        </is>
      </c>
      <c r="B30" s="7" t="inlineStr">
        <is>
          <t>P2.4</t>
        </is>
      </c>
      <c r="C30" s="8" t="inlineStr">
        <is>
          <t>Performance</t>
        </is>
      </c>
      <c r="D30" s="8" t="inlineStr">
        <is>
          <t>Add load_articles_by_ids_for_project; drop 20k scans</t>
        </is>
      </c>
      <c r="E30" s="9" t="inlineStr">
        <is>
          <t>High</t>
        </is>
      </c>
      <c r="F30" s="7" t="inlineStr">
        <is>
          <t>M</t>
        </is>
      </c>
      <c r="G30" s="8" t="inlineStr">
        <is>
          <t>routes/articles.py:1028-1037; routes/scheduled_jobs.py:246-256</t>
        </is>
      </c>
      <c r="H30" s="8" t="inlineStr">
        <is>
          <t>$in query batch fetch</t>
        </is>
      </c>
      <c r="I30" s="8" t="inlineStr">
        <is>
          <t>Bulk validate uses single $in query</t>
        </is>
      </c>
      <c r="J30" s="7" t="inlineStr">
        <is>
          <t>Not Started</t>
        </is>
      </c>
      <c r="K30" s="8" t="inlineStr"/>
      <c r="L30" s="8" t="inlineStr"/>
    </row>
    <row r="31">
      <c r="A31" s="4" t="inlineStr">
        <is>
          <t>P2</t>
        </is>
      </c>
      <c r="B31" s="4" t="inlineStr">
        <is>
          <t>P2.5</t>
        </is>
      </c>
      <c r="C31" s="5" t="inlineStr">
        <is>
          <t>Performance</t>
        </is>
      </c>
      <c r="D31" s="5" t="inlineStr">
        <is>
          <t>asyncio.gather serial pairs (editor-shell, board, shopify sync)</t>
        </is>
      </c>
      <c r="E31" s="10" t="inlineStr">
        <is>
          <t>Medium</t>
        </is>
      </c>
      <c r="F31" s="4" t="inlineStr">
        <is>
          <t>M</t>
        </is>
      </c>
      <c r="G31" s="5" t="inlineStr">
        <is>
          <t>routes/articles.py:1248-1262; routes/scheduled_jobs.py:284-295; services/shopify_sync.py:196-250</t>
        </is>
      </c>
      <c r="H31" s="5" t="inlineStr">
        <is>
          <t>Concurrent independent awaits</t>
        </is>
      </c>
      <c r="I31" s="5" t="inlineStr">
        <is>
          <t>Latency = max not sum</t>
        </is>
      </c>
      <c r="J31" s="4" t="inlineStr">
        <is>
          <t>Not Started</t>
        </is>
      </c>
      <c r="K31" s="5" t="inlineStr"/>
      <c r="L31" s="5" t="inlineStr"/>
    </row>
    <row r="32">
      <c r="A32" s="7" t="inlineStr">
        <is>
          <t>P2</t>
        </is>
      </c>
      <c r="B32" s="7" t="inlineStr">
        <is>
          <t>P2.6</t>
        </is>
      </c>
      <c r="C32" s="8" t="inlineStr">
        <is>
          <t>Frontend</t>
        </is>
      </c>
      <c r="D32" s="8" t="inlineStr">
        <is>
          <t>Visibility guard + backoff on all poll loops</t>
        </is>
      </c>
      <c r="E32" s="10" t="inlineStr">
        <is>
          <t>Medium</t>
        </is>
      </c>
      <c r="F32" s="7" t="inlineStr">
        <is>
          <t>M</t>
        </is>
      </c>
      <c r="G32" s="8" t="inlineStr">
        <is>
          <t>frontend/src/lib/api.ts:788-844; app/projects/[projectId]/page.tsx:1763-1774,3096-3120</t>
        </is>
      </c>
      <c r="H32" s="8" t="inlineStr">
        <is>
          <t>document.hidden check + backoff</t>
        </is>
      </c>
      <c r="I32" s="8" t="inlineStr">
        <is>
          <t>No polling when tab hidden</t>
        </is>
      </c>
      <c r="J32" s="7" t="inlineStr">
        <is>
          <t>Not Started</t>
        </is>
      </c>
      <c r="K32" s="8" t="inlineStr"/>
      <c r="L32" s="8" t="inlineStr"/>
    </row>
    <row r="33">
      <c r="A33" s="4" t="inlineStr">
        <is>
          <t>P2</t>
        </is>
      </c>
      <c r="B33" s="4" t="inlineStr">
        <is>
          <t>P2.7</t>
        </is>
      </c>
      <c r="C33" s="5" t="inlineStr">
        <is>
          <t>Frontend</t>
        </is>
      </c>
      <c r="D33" s="5" t="inlineStr">
        <is>
          <t>Replace listArticlesAll waterfall with aggregate endpoint</t>
        </is>
      </c>
      <c r="E33" s="9" t="inlineStr">
        <is>
          <t>High</t>
        </is>
      </c>
      <c r="F33" s="4" t="inlineStr">
        <is>
          <t>M</t>
        </is>
      </c>
      <c r="G33" s="5" t="inlineStr">
        <is>
          <t>frontend/src/lib/api.ts:1963-1975; page.tsx:1283-1322</t>
        </is>
      </c>
      <c r="H33" s="5" t="inlineStr">
        <is>
          <t>Use workspaceOverview()</t>
        </is>
      </c>
      <c r="I33" s="5" t="inlineStr">
        <is>
          <t>Overview loads 1 request not 50</t>
        </is>
      </c>
      <c r="J33" s="4" t="inlineStr">
        <is>
          <t>Not Started</t>
        </is>
      </c>
      <c r="K33" s="5" t="inlineStr"/>
      <c r="L33" s="5" t="inlineStr"/>
    </row>
    <row r="34">
      <c r="A34" s="7" t="inlineStr">
        <is>
          <t>P2</t>
        </is>
      </c>
      <c r="B34" s="7" t="inlineStr">
        <is>
          <t>P2.8</t>
        </is>
      </c>
      <c r="C34" s="8" t="inlineStr">
        <is>
          <t>Frontend</t>
        </is>
      </c>
      <c r="D34" s="8" t="inlineStr">
        <is>
          <t>Stop shell refetch on tab switch; dedupe GSC analytics</t>
        </is>
      </c>
      <c r="E34" s="10" t="inlineStr">
        <is>
          <t>Medium</t>
        </is>
      </c>
      <c r="F34" s="7" t="inlineStr">
        <is>
          <t>S</t>
        </is>
      </c>
      <c r="G34" s="8" t="inlineStr">
        <is>
          <t>page.tsx:1171-1218,1290-1372,2508-2521</t>
        </is>
      </c>
      <c r="H34" s="8" t="inlineStr">
        <is>
          <t>Drop tab from deps; share analytics in state</t>
        </is>
      </c>
      <c r="I34" s="8" t="inlineStr">
        <is>
          <t>Tab switch fires no shell refetch</t>
        </is>
      </c>
      <c r="J34" s="7" t="inlineStr">
        <is>
          <t>Not Started</t>
        </is>
      </c>
      <c r="K34" s="8" t="inlineStr"/>
      <c r="L34" s="8" t="inlineStr"/>
    </row>
    <row r="35" ht="20" customHeight="1">
      <c r="A35" s="3" t="inlineStr">
        <is>
          <t>PHASE 3 — Infrastructure for ~50 Users</t>
        </is>
      </c>
    </row>
    <row r="36">
      <c r="A36" s="4" t="inlineStr">
        <is>
          <t>P3</t>
        </is>
      </c>
      <c r="B36" s="4" t="inlineStr">
        <is>
          <t>I3.1</t>
        </is>
      </c>
      <c r="C36" s="5" t="inlineStr">
        <is>
          <t>Infrastructure</t>
        </is>
      </c>
      <c r="D36" s="5" t="inlineStr">
        <is>
          <t>Separate worker &amp; scheduler from API processes</t>
        </is>
      </c>
      <c r="E36" s="9" t="inlineStr">
        <is>
          <t>High</t>
        </is>
      </c>
      <c r="F36" s="4" t="inlineStr">
        <is>
          <t>M</t>
        </is>
      </c>
      <c r="G36" s="5" t="inlineStr">
        <is>
          <t>main.py:129-138 (lifespan); Procfile</t>
        </is>
      </c>
      <c r="H36" s="5" t="inlineStr">
        <is>
          <t>API ENABLE_SCHEDULER=0/worker=0 + 1 worker + 1 scheduler proc</t>
        </is>
      </c>
      <c r="I36" s="5" t="inlineStr">
        <is>
          <t>API process runs no scheduler/worker</t>
        </is>
      </c>
      <c r="J36" s="4" t="inlineStr">
        <is>
          <t>Not Started</t>
        </is>
      </c>
      <c r="K36" s="5" t="inlineStr"/>
      <c r="L36" s="5" t="inlineStr"/>
    </row>
    <row r="37">
      <c r="A37" s="7" t="inlineStr">
        <is>
          <t>P3</t>
        </is>
      </c>
      <c r="B37" s="7" t="inlineStr">
        <is>
          <t>I3.2</t>
        </is>
      </c>
      <c r="C37" s="8" t="inlineStr">
        <is>
          <t>Infrastructure</t>
        </is>
      </c>
      <c r="D37" s="8" t="inlineStr">
        <is>
          <t>Managed MongoDB Atlas M10 (TLS, IP allowlist, backups)</t>
        </is>
      </c>
      <c r="E37" s="9" t="inlineStr">
        <is>
          <t>High</t>
        </is>
      </c>
      <c r="F37" s="7" t="inlineStr">
        <is>
          <t>M</t>
        </is>
      </c>
      <c r="G37" s="8" t="inlineStr">
        <is>
          <t>database.py:88-93</t>
        </is>
      </c>
      <c r="H37" s="8" t="inlineStr">
        <is>
          <t>Atlas M10, TLS on, maxIdleTimeMS=30000</t>
        </is>
      </c>
      <c r="I37" s="8" t="inlineStr">
        <is>
          <t>App connects to M10 over TLS</t>
        </is>
      </c>
      <c r="J37" s="7" t="inlineStr">
        <is>
          <t>Not Started</t>
        </is>
      </c>
      <c r="K37" s="8" t="inlineStr"/>
      <c r="L37" s="8" t="inlineStr"/>
    </row>
    <row r="38">
      <c r="A38" s="4" t="inlineStr">
        <is>
          <t>P3</t>
        </is>
      </c>
      <c r="B38" s="4" t="inlineStr">
        <is>
          <t>I3.3</t>
        </is>
      </c>
      <c r="C38" s="5" t="inlineStr">
        <is>
          <t>Infrastructure</t>
        </is>
      </c>
      <c r="D38" s="5" t="inlineStr">
        <is>
          <t>Managed Redis (auth + TLS)</t>
        </is>
      </c>
      <c r="E38" s="9" t="inlineStr">
        <is>
          <t>High</t>
        </is>
      </c>
      <c r="F38" s="4" t="inlineStr">
        <is>
          <t>S</t>
        </is>
      </c>
      <c r="G38" s="5" t="inlineStr">
        <is>
          <t>services/generation_queue.py</t>
        </is>
      </c>
      <c r="H38" s="5" t="inlineStr">
        <is>
          <t>Single managed Redis with auth/TLS</t>
        </is>
      </c>
      <c r="I38" s="5" t="inlineStr">
        <is>
          <t>Queue uses managed Redis</t>
        </is>
      </c>
      <c r="J38" s="4" t="inlineStr">
        <is>
          <t>Not Started</t>
        </is>
      </c>
      <c r="K38" s="5" t="inlineStr"/>
      <c r="L38" s="5" t="inlineStr"/>
    </row>
    <row r="39">
      <c r="A39" s="7" t="inlineStr">
        <is>
          <t>P3</t>
        </is>
      </c>
      <c r="B39" s="7" t="inlineStr">
        <is>
          <t>I3.4</t>
        </is>
      </c>
      <c r="C39" s="8" t="inlineStr">
        <is>
          <t>Infrastructure</t>
        </is>
      </c>
      <c r="D39" s="8" t="inlineStr">
        <is>
          <t>Automated daily backups + tested restore</t>
        </is>
      </c>
      <c r="E39" s="9" t="inlineStr">
        <is>
          <t>High</t>
        </is>
      </c>
      <c r="F39" s="7" t="inlineStr">
        <is>
          <t>S</t>
        </is>
      </c>
      <c r="G39" s="8" t="inlineStr">
        <is>
          <t>Atlas / ops</t>
        </is>
      </c>
      <c r="H39" s="8" t="inlineStr">
        <is>
          <t>Continuous backup; quarterly restore drill</t>
        </is>
      </c>
      <c r="I39" s="8" t="inlineStr">
        <is>
          <t>Restore drill succeeds</t>
        </is>
      </c>
      <c r="J39" s="7" t="inlineStr">
        <is>
          <t>Not Started</t>
        </is>
      </c>
      <c r="K39" s="8" t="inlineStr"/>
      <c r="L39" s="8" t="inlineStr"/>
    </row>
    <row r="40">
      <c r="A40" s="4" t="inlineStr">
        <is>
          <t>P3</t>
        </is>
      </c>
      <c r="B40" s="4" t="inlineStr">
        <is>
          <t>I3.5</t>
        </is>
      </c>
      <c r="C40" s="5" t="inlineStr">
        <is>
          <t>Infrastructure</t>
        </is>
      </c>
      <c r="D40" s="5" t="inlineStr">
        <is>
          <t>TLS termination + HSTS + gzip at Nginx/Cloudflare</t>
        </is>
      </c>
      <c r="E40" s="9" t="inlineStr">
        <is>
          <t>High</t>
        </is>
      </c>
      <c r="F40" s="4" t="inlineStr">
        <is>
          <t>S</t>
        </is>
      </c>
      <c r="G40" s="5" t="inlineStr">
        <is>
          <t>nginx/</t>
        </is>
      </c>
      <c r="H40" s="5" t="inlineStr">
        <is>
          <t>Force HTTPS redirect + HSTS</t>
        </is>
      </c>
      <c r="I40" s="5" t="inlineStr">
        <is>
          <t>HTTP redirects to HTTPS; HSTS header set</t>
        </is>
      </c>
      <c r="J40" s="4" t="inlineStr">
        <is>
          <t>Not Started</t>
        </is>
      </c>
      <c r="K40" s="5" t="inlineStr"/>
      <c r="L40" s="5" t="inlineStr"/>
    </row>
    <row r="41">
      <c r="A41" s="7" t="inlineStr">
        <is>
          <t>P3</t>
        </is>
      </c>
      <c r="B41" s="7" t="inlineStr">
        <is>
          <t>I3.6</t>
        </is>
      </c>
      <c r="C41" s="8" t="inlineStr">
        <is>
          <t>Infrastructure</t>
        </is>
      </c>
      <c r="D41" s="8" t="inlineStr">
        <is>
          <t>Connection pool sizing across processes</t>
        </is>
      </c>
      <c r="E41" s="10" t="inlineStr">
        <is>
          <t>Medium</t>
        </is>
      </c>
      <c r="F41" s="7" t="inlineStr">
        <is>
          <t>S</t>
        </is>
      </c>
      <c r="G41" s="8" t="inlineStr">
        <is>
          <t>database.py</t>
        </is>
      </c>
      <c r="H41" s="8" t="inlineStr">
        <is>
          <t>Set maxPoolSize per process; sum &lt; Atlas limit</t>
        </is>
      </c>
      <c r="I41" s="8" t="inlineStr">
        <is>
          <t>No connection-limit errors under load</t>
        </is>
      </c>
      <c r="J41" s="7" t="inlineStr">
        <is>
          <t>Not Started</t>
        </is>
      </c>
      <c r="K41" s="8" t="inlineStr"/>
      <c r="L41" s="8" t="inlineStr"/>
    </row>
    <row r="42">
      <c r="A42" s="4" t="inlineStr">
        <is>
          <t>P3</t>
        </is>
      </c>
      <c r="B42" s="4" t="inlineStr">
        <is>
          <t>I3.7</t>
        </is>
      </c>
      <c r="C42" s="5" t="inlineStr">
        <is>
          <t>Infrastructure</t>
        </is>
      </c>
      <c r="D42" s="5" t="inlineStr">
        <is>
          <t>Healthchecks + auto-restart (liveness/readiness)</t>
        </is>
      </c>
      <c r="E42" s="10" t="inlineStr">
        <is>
          <t>Medium</t>
        </is>
      </c>
      <c r="F42" s="4" t="inlineStr">
        <is>
          <t>S</t>
        </is>
      </c>
      <c r="G42" s="5" t="inlineStr">
        <is>
          <t>routes/health.py</t>
        </is>
      </c>
      <c r="H42" s="5" t="inlineStr">
        <is>
          <t>Container healthcheck -&gt; restart policy</t>
        </is>
      </c>
      <c r="I42" s="5" t="inlineStr">
        <is>
          <t>Killed proc auto-restarts</t>
        </is>
      </c>
      <c r="J42" s="4" t="inlineStr">
        <is>
          <t>Not Started</t>
        </is>
      </c>
      <c r="K42" s="5" t="inlineStr"/>
      <c r="L42" s="5" t="inlineStr"/>
    </row>
    <row r="43">
      <c r="A43" s="7" t="inlineStr">
        <is>
          <t>P3</t>
        </is>
      </c>
      <c r="B43" s="7" t="inlineStr">
        <is>
          <t>I3.8</t>
        </is>
      </c>
      <c r="C43" s="8" t="inlineStr">
        <is>
          <t>Infrastructure</t>
        </is>
      </c>
      <c r="D43" s="8" t="inlineStr">
        <is>
          <t>2-instance API behind LB + rolling deploy</t>
        </is>
      </c>
      <c r="E43" s="10" t="inlineStr">
        <is>
          <t>Medium</t>
        </is>
      </c>
      <c r="F43" s="7" t="inlineStr">
        <is>
          <t>M</t>
        </is>
      </c>
      <c r="G43" s="8" t="inlineStr">
        <is>
          <t>deploy/</t>
        </is>
      </c>
      <c r="H43" s="8" t="inlineStr">
        <is>
          <t>2 small API instances; zero-downtime deploy</t>
        </is>
      </c>
      <c r="I43" s="8" t="inlineStr">
        <is>
          <t>Deploy with no downtime</t>
        </is>
      </c>
      <c r="J43" s="7" t="inlineStr">
        <is>
          <t>Not Started</t>
        </is>
      </c>
      <c r="K43" s="8" t="inlineStr"/>
      <c r="L43" s="8" t="inlineStr"/>
    </row>
    <row r="44">
      <c r="A44" s="4" t="inlineStr">
        <is>
          <t>P3</t>
        </is>
      </c>
      <c r="B44" s="4" t="inlineStr">
        <is>
          <t>I3.9</t>
        </is>
      </c>
      <c r="C44" s="5" t="inlineStr">
        <is>
          <t>Infrastructure</t>
        </is>
      </c>
      <c r="D44" s="5" t="inlineStr">
        <is>
          <t>Secrets via env/secret manager (not files)</t>
        </is>
      </c>
      <c r="E44" s="10" t="inlineStr">
        <is>
          <t>Medium</t>
        </is>
      </c>
      <c r="F44" s="4" t="inlineStr">
        <is>
          <t>S</t>
        </is>
      </c>
      <c r="G44" s="5" t="inlineStr">
        <is>
          <t>.env files</t>
        </is>
      </c>
      <c r="H44" s="5" t="inlineStr">
        <is>
          <t>Move to host secret store</t>
        </is>
      </c>
      <c r="I44" s="5" t="inlineStr">
        <is>
          <t>No secrets on disk in prod</t>
        </is>
      </c>
      <c r="J44" s="4" t="inlineStr">
        <is>
          <t>Not Started</t>
        </is>
      </c>
      <c r="K44" s="5" t="inlineStr"/>
      <c r="L44" s="5" t="inlineStr"/>
    </row>
    <row r="45">
      <c r="A45" s="7" t="inlineStr">
        <is>
          <t>P3</t>
        </is>
      </c>
      <c r="B45" s="7" t="inlineStr">
        <is>
          <t>I3.10</t>
        </is>
      </c>
      <c r="C45" s="8" t="inlineStr">
        <is>
          <t>Infrastructure</t>
        </is>
      </c>
      <c r="D45" s="8" t="inlineStr">
        <is>
          <t>Rate-limit store in Redis (not in-memory)</t>
        </is>
      </c>
      <c r="E45" s="10" t="inlineStr">
        <is>
          <t>Medium</t>
        </is>
      </c>
      <c r="F45" s="7" t="inlineStr">
        <is>
          <t>S</t>
        </is>
      </c>
      <c r="G45" s="8" t="inlineStr">
        <is>
          <t>core/ratelimit.py</t>
        </is>
      </c>
      <c r="H45" s="8" t="inlineStr">
        <is>
          <t>SlowAPI -&gt; Redis storage backend</t>
        </is>
      </c>
      <c r="I45" s="8" t="inlineStr">
        <is>
          <t>Limits consistent across 2 instances</t>
        </is>
      </c>
      <c r="J45" s="7" t="inlineStr">
        <is>
          <t>Not Started</t>
        </is>
      </c>
      <c r="K45" s="8" t="inlineStr"/>
      <c r="L45" s="8" t="inlineStr"/>
    </row>
    <row r="46">
      <c r="A46" s="4" t="inlineStr">
        <is>
          <t>P3</t>
        </is>
      </c>
      <c r="B46" s="4" t="inlineStr">
        <is>
          <t>I3.11</t>
        </is>
      </c>
      <c r="C46" s="5" t="inlineStr">
        <is>
          <t>Infrastructure</t>
        </is>
      </c>
      <c r="D46" s="5" t="inlineStr">
        <is>
          <t>Email reliability: queue or native SMTP lib</t>
        </is>
      </c>
      <c r="E46" s="10" t="inlineStr">
        <is>
          <t>Medium</t>
        </is>
      </c>
      <c r="F46" s="4" t="inlineStr">
        <is>
          <t>M</t>
        </is>
      </c>
      <c r="G46" s="5" t="inlineStr">
        <is>
          <t>services/email_dispatch.py</t>
        </is>
      </c>
      <c r="H46" s="5" t="inlineStr">
        <is>
          <t>Replace Node subprocess or queue jobs</t>
        </is>
      </c>
      <c r="I46" s="5" t="inlineStr">
        <is>
          <t>Email send retried on failure</t>
        </is>
      </c>
      <c r="J46" s="4" t="inlineStr">
        <is>
          <t>Not Started</t>
        </is>
      </c>
      <c r="K46" s="5" t="inlineStr"/>
      <c r="L46" s="5" t="inlineStr"/>
    </row>
    <row r="47" ht="20" customHeight="1">
      <c r="A47" s="3" t="inlineStr">
        <is>
          <t>PHASE 4 — Structural Refactor (data / OOP layer)</t>
        </is>
      </c>
    </row>
    <row r="48">
      <c r="A48" s="4" t="inlineStr">
        <is>
          <t>P4</t>
        </is>
      </c>
      <c r="B48" s="4" t="inlineStr">
        <is>
          <t>P4.1</t>
        </is>
      </c>
      <c r="C48" s="5" t="inlineStr">
        <is>
          <t>Performance</t>
        </is>
      </c>
      <c r="D48" s="5" t="inlineStr">
        <is>
          <t>Add Mongo projections (project/user/scheduler light vs full)</t>
        </is>
      </c>
      <c r="E48" s="9" t="inlineStr">
        <is>
          <t>High</t>
        </is>
      </c>
      <c r="F48" s="4" t="inlineStr">
        <is>
          <t>M</t>
        </is>
      </c>
      <c r="G48" s="5" t="inlineStr">
        <is>
          <t>storage.py:2323,2490,1515,3683</t>
        </is>
      </c>
      <c r="H48" s="5" t="inlineStr">
        <is>
          <t>Per-call-site projections</t>
        </is>
      </c>
      <c r="I48" s="5" t="inlineStr">
        <is>
          <t>Hot reads exclude heavy fields</t>
        </is>
      </c>
      <c r="J48" s="4" t="inlineStr">
        <is>
          <t>Not Started</t>
        </is>
      </c>
      <c r="K48" s="5" t="inlineStr"/>
      <c r="L48" s="5" t="inlineStr"/>
    </row>
    <row r="49">
      <c r="A49" s="7" t="inlineStr">
        <is>
          <t>P4</t>
        </is>
      </c>
      <c r="B49" s="7" t="inlineStr">
        <is>
          <t>P4.2</t>
        </is>
      </c>
      <c r="C49" s="8" t="inlineStr">
        <is>
          <t>Performance</t>
        </is>
      </c>
      <c r="D49" s="8" t="inlineStr">
        <is>
          <t>Route partial writes through $set; batch bulk_update_articles</t>
        </is>
      </c>
      <c r="E49" s="9" t="inlineStr">
        <is>
          <t>High</t>
        </is>
      </c>
      <c r="F49" s="7" t="inlineStr">
        <is>
          <t>M</t>
        </is>
      </c>
      <c r="G49" s="8" t="inlineStr">
        <is>
          <t>storage.py:4104-4113,4167-4177</t>
        </is>
      </c>
      <c r="H49" s="8" t="inlineStr">
        <is>
          <t>bulk_write of $set ops</t>
        </is>
      </c>
      <c r="I49" s="8" t="inlineStr">
        <is>
          <t>No full-doc replace on field update</t>
        </is>
      </c>
      <c r="J49" s="7" t="inlineStr">
        <is>
          <t>Not Started</t>
        </is>
      </c>
      <c r="K49" s="8" t="inlineStr"/>
      <c r="L49" s="8" t="inlineStr"/>
    </row>
    <row r="50">
      <c r="A50" s="4" t="inlineStr">
        <is>
          <t>P4</t>
        </is>
      </c>
      <c r="B50" s="4" t="inlineStr">
        <is>
          <t>P4.3</t>
        </is>
      </c>
      <c r="C50" s="5" t="inlineStr">
        <is>
          <t>Performance</t>
        </is>
      </c>
      <c r="D50" s="5" t="inlineStr">
        <is>
          <t>Persist has_body + derived listing status</t>
        </is>
      </c>
      <c r="E50" s="9" t="inlineStr">
        <is>
          <t>High</t>
        </is>
      </c>
      <c r="F50" s="4" t="inlineStr">
        <is>
          <t>M</t>
        </is>
      </c>
      <c r="G50" s="5" t="inlineStr">
        <is>
          <t>storage.py:3045-3060; routes/articles.py:731-795</t>
        </is>
      </c>
      <c r="H50" s="5" t="inlineStr">
        <is>
          <t>Write-time flags + $match</t>
        </is>
      </c>
      <c r="I50" s="5" t="inlineStr">
        <is>
          <t>Listing avoids body scan</t>
        </is>
      </c>
      <c r="J50" s="4" t="inlineStr">
        <is>
          <t>Not Started</t>
        </is>
      </c>
      <c r="K50" s="5" t="inlineStr"/>
      <c r="L50" s="5" t="inlineStr"/>
    </row>
    <row r="51">
      <c r="A51" s="7" t="inlineStr">
        <is>
          <t>P4</t>
        </is>
      </c>
      <c r="B51" s="7" t="inlineStr">
        <is>
          <t>P4.4</t>
        </is>
      </c>
      <c r="C51" s="8" t="inlineStr">
        <is>
          <t>Performance</t>
        </is>
      </c>
      <c r="D51" s="8" t="inlineStr">
        <is>
          <t>Bulk scheduled-job APIs; move heal to worker</t>
        </is>
      </c>
      <c r="E51" s="10" t="inlineStr">
        <is>
          <t>Medium</t>
        </is>
      </c>
      <c r="F51" s="7" t="inlineStr">
        <is>
          <t>M</t>
        </is>
      </c>
      <c r="G51" s="8" t="inlineStr">
        <is>
          <t>routes/scheduled_jobs.py:38-78,717-771</t>
        </is>
      </c>
      <c r="H51" s="8" t="inlineStr">
        <is>
          <t>delete_many; background heal</t>
        </is>
      </c>
      <c r="I51" s="8" t="inlineStr">
        <is>
          <t>GET board does no writes</t>
        </is>
      </c>
      <c r="J51" s="7" t="inlineStr">
        <is>
          <t>Not Started</t>
        </is>
      </c>
      <c r="K51" s="8" t="inlineStr"/>
      <c r="L51" s="8" t="inlineStr"/>
    </row>
    <row r="52">
      <c r="A52" s="4" t="inlineStr">
        <is>
          <t>P4</t>
        </is>
      </c>
      <c r="B52" s="4" t="inlineStr">
        <is>
          <t>P4.5</t>
        </is>
      </c>
      <c r="C52" s="5" t="inlineStr">
        <is>
          <t>Performance</t>
        </is>
      </c>
      <c r="D52" s="5" t="inlineStr">
        <is>
          <t>Add missing indexes/TTLs (site_maps, monitors, research_cache)</t>
        </is>
      </c>
      <c r="E52" s="10" t="inlineStr">
        <is>
          <t>Medium</t>
        </is>
      </c>
      <c r="F52" s="4" t="inlineStr">
        <is>
          <t>S</t>
        </is>
      </c>
      <c r="G52" s="5" t="inlineStr">
        <is>
          <t>database.py:191-229</t>
        </is>
      </c>
      <c r="H52" s="5" t="inlineStr">
        <is>
          <t>create_index + TTL</t>
        </is>
      </c>
      <c r="I52" s="5" t="inlineStr">
        <is>
          <t>explain() shows index use</t>
        </is>
      </c>
      <c r="J52" s="4" t="inlineStr">
        <is>
          <t>Not Started</t>
        </is>
      </c>
      <c r="K52" s="5" t="inlineStr"/>
      <c r="L52" s="5" t="inlineStr"/>
    </row>
    <row r="53">
      <c r="A53" s="7" t="inlineStr">
        <is>
          <t>P4</t>
        </is>
      </c>
      <c r="B53" s="7" t="inlineStr">
        <is>
          <t>P4.6</t>
        </is>
      </c>
      <c r="C53" s="8" t="inlineStr">
        <is>
          <t>Architecture</t>
        </is>
      </c>
      <c r="D53" s="8" t="inlineStr">
        <is>
          <t>Typed repositories + domain models (heavy/light fields)</t>
        </is>
      </c>
      <c r="E53" s="9" t="inlineStr">
        <is>
          <t>High</t>
        </is>
      </c>
      <c r="F53" s="7" t="inlineStr">
        <is>
          <t>L</t>
        </is>
      </c>
      <c r="G53" s="8" t="inlineStr">
        <is>
          <t>storage.py (whole)</t>
        </is>
      </c>
      <c r="H53" s="8" t="inlineStr">
        <is>
          <t>ArticleRepository/ProjectRepository/etc.</t>
        </is>
      </c>
      <c r="I53" s="8" t="inlineStr">
        <is>
          <t>Business code uses typed models</t>
        </is>
      </c>
      <c r="J53" s="7" t="inlineStr">
        <is>
          <t>Not Started</t>
        </is>
      </c>
      <c r="K53" s="8" t="inlineStr"/>
      <c r="L53" s="8" t="inlineStr"/>
    </row>
    <row r="54">
      <c r="A54" s="4" t="inlineStr">
        <is>
          <t>P4</t>
        </is>
      </c>
      <c r="B54" s="4" t="inlineStr">
        <is>
          <t>P4.7</t>
        </is>
      </c>
      <c r="C54" s="5" t="inlineStr">
        <is>
          <t>Architecture</t>
        </is>
      </c>
      <c r="D54" s="5" t="inlineStr">
        <is>
          <t>RequestContext carrying memoized user/project/plan</t>
        </is>
      </c>
      <c r="E54" s="10" t="inlineStr">
        <is>
          <t>Medium</t>
        </is>
      </c>
      <c r="F54" s="4" t="inlineStr">
        <is>
          <t>M</t>
        </is>
      </c>
      <c r="G54" s="5" t="inlineStr">
        <is>
          <t>core/deps.py</t>
        </is>
      </c>
      <c r="H54" s="5" t="inlineStr">
        <is>
          <t>DI object</t>
        </is>
      </c>
      <c r="I54" s="5" t="inlineStr">
        <is>
          <t>Single fetch per request entity</t>
        </is>
      </c>
      <c r="J54" s="4" t="inlineStr">
        <is>
          <t>Not Started</t>
        </is>
      </c>
      <c r="K54" s="5" t="inlineStr"/>
      <c r="L54" s="5" t="inlineStr"/>
    </row>
    <row r="55">
      <c r="A55" s="7" t="inlineStr">
        <is>
          <t>P4</t>
        </is>
      </c>
      <c r="B55" s="7" t="inlineStr">
        <is>
          <t>P4.8</t>
        </is>
      </c>
      <c r="C55" s="8" t="inlineStr">
        <is>
          <t>Performance</t>
        </is>
      </c>
      <c r="D55" s="8" t="inlineStr">
        <is>
          <t>Expand Motor async coverage for hot reads</t>
        </is>
      </c>
      <c r="E55" s="10" t="inlineStr">
        <is>
          <t>Medium</t>
        </is>
      </c>
      <c r="F55" s="7" t="inlineStr">
        <is>
          <t>L</t>
        </is>
      </c>
      <c r="G55" s="8" t="inlineStr">
        <is>
          <t>services/mongo_listings_async.py</t>
        </is>
      </c>
      <c r="H55" s="8" t="inlineStr">
        <is>
          <t>Async reads off thread pool</t>
        </is>
      </c>
      <c r="I55" s="8" t="inlineStr">
        <is>
          <t>Thread pool not saturated under load</t>
        </is>
      </c>
      <c r="J55" s="7" t="inlineStr">
        <is>
          <t>Not Started</t>
        </is>
      </c>
      <c r="K55" s="8" t="inlineStr"/>
      <c r="L55" s="8" t="inlineStr"/>
    </row>
    <row r="56" ht="20" customHeight="1">
      <c r="A56" s="3" t="inlineStr">
        <is>
          <t>PHASE 5 — Observability, Testing &amp; CI</t>
        </is>
      </c>
    </row>
    <row r="57">
      <c r="A57" s="4" t="inlineStr">
        <is>
          <t>P5</t>
        </is>
      </c>
      <c r="B57" s="4" t="inlineStr">
        <is>
          <t>I5.1</t>
        </is>
      </c>
      <c r="C57" s="5" t="inlineStr">
        <is>
          <t>Observability</t>
        </is>
      </c>
      <c r="D57" s="5" t="inlineStr">
        <is>
          <t>Error tracking (Sentry) API+worker+frontend with PII scrub</t>
        </is>
      </c>
      <c r="E57" s="9" t="inlineStr">
        <is>
          <t>High</t>
        </is>
      </c>
      <c r="F57" s="4" t="inlineStr">
        <is>
          <t>S</t>
        </is>
      </c>
      <c r="G57" s="5" t="inlineStr">
        <is>
          <t>—</t>
        </is>
      </c>
      <c r="H57" s="5" t="inlineStr">
        <is>
          <t>Integrate Sentry SDKs</t>
        </is>
      </c>
      <c r="I57" s="5" t="inlineStr">
        <is>
          <t>Test exception appears in Sentry</t>
        </is>
      </c>
      <c r="J57" s="4" t="inlineStr">
        <is>
          <t>Not Started</t>
        </is>
      </c>
      <c r="K57" s="5" t="inlineStr"/>
      <c r="L57" s="5" t="inlineStr"/>
    </row>
    <row r="58">
      <c r="A58" s="7" t="inlineStr">
        <is>
          <t>P5</t>
        </is>
      </c>
      <c r="B58" s="7" t="inlineStr">
        <is>
          <t>I5.2</t>
        </is>
      </c>
      <c r="C58" s="8" t="inlineStr">
        <is>
          <t>Observability</t>
        </is>
      </c>
      <c r="D58" s="8" t="inlineStr">
        <is>
          <t>Metrics + dashboards (latency, queue depth, Mongo op time)</t>
        </is>
      </c>
      <c r="E58" s="10" t="inlineStr">
        <is>
          <t>Medium</t>
        </is>
      </c>
      <c r="F58" s="7" t="inlineStr">
        <is>
          <t>M</t>
        </is>
      </c>
      <c r="G58" s="8" t="inlineStr">
        <is>
          <t>—</t>
        </is>
      </c>
      <c r="H58" s="8" t="inlineStr">
        <is>
          <t>Prometheus/Grafana or hosted</t>
        </is>
      </c>
      <c r="I58" s="8" t="inlineStr">
        <is>
          <t>Dashboards live</t>
        </is>
      </c>
      <c r="J58" s="7" t="inlineStr">
        <is>
          <t>Not Started</t>
        </is>
      </c>
      <c r="K58" s="8" t="inlineStr"/>
      <c r="L58" s="8" t="inlineStr"/>
    </row>
    <row r="59">
      <c r="A59" s="4" t="inlineStr">
        <is>
          <t>P5</t>
        </is>
      </c>
      <c r="B59" s="4" t="inlineStr">
        <is>
          <t>I5.3</t>
        </is>
      </c>
      <c r="C59" s="5" t="inlineStr">
        <is>
          <t>Observability</t>
        </is>
      </c>
      <c r="D59" s="5" t="inlineStr">
        <is>
          <t>Structured logging with request IDs</t>
        </is>
      </c>
      <c r="E59" s="10" t="inlineStr">
        <is>
          <t>Medium</t>
        </is>
      </c>
      <c r="F59" s="4" t="inlineStr">
        <is>
          <t>S</t>
        </is>
      </c>
      <c r="G59" s="5" t="inlineStr">
        <is>
          <t>core/logging.py</t>
        </is>
      </c>
      <c r="H59" s="5" t="inlineStr">
        <is>
          <t>Correlation IDs across API/worker</t>
        </is>
      </c>
      <c r="I59" s="5" t="inlineStr">
        <is>
          <t>Logs correlate by request id</t>
        </is>
      </c>
      <c r="J59" s="4" t="inlineStr">
        <is>
          <t>Not Started</t>
        </is>
      </c>
      <c r="K59" s="5" t="inlineStr"/>
      <c r="L59" s="5" t="inlineStr"/>
    </row>
    <row r="60">
      <c r="A60" s="7" t="inlineStr">
        <is>
          <t>P5</t>
        </is>
      </c>
      <c r="B60" s="7" t="inlineStr">
        <is>
          <t>I5.4</t>
        </is>
      </c>
      <c r="C60" s="8" t="inlineStr">
        <is>
          <t>CI/CD</t>
        </is>
      </c>
      <c r="D60" s="8" t="inlineStr">
        <is>
          <t>CI: pip-audit/Dependabot + secret scanning (gitleaks)</t>
        </is>
      </c>
      <c r="E60" s="9" t="inlineStr">
        <is>
          <t>High</t>
        </is>
      </c>
      <c r="F60" s="7" t="inlineStr">
        <is>
          <t>S</t>
        </is>
      </c>
      <c r="G60" s="8" t="inlineStr">
        <is>
          <t>.github/workflows</t>
        </is>
      </c>
      <c r="H60" s="8" t="inlineStr">
        <is>
          <t>Block merges on Critical</t>
        </is>
      </c>
      <c r="I60" s="8" t="inlineStr">
        <is>
          <t>PR fails on planted secret</t>
        </is>
      </c>
      <c r="J60" s="7" t="inlineStr">
        <is>
          <t>Not Started</t>
        </is>
      </c>
      <c r="K60" s="8" t="inlineStr"/>
      <c r="L60" s="8" t="inlineStr"/>
    </row>
    <row r="61">
      <c r="A61" s="4" t="inlineStr">
        <is>
          <t>P5</t>
        </is>
      </c>
      <c r="B61" s="4" t="inlineStr">
        <is>
          <t>I5.5</t>
        </is>
      </c>
      <c r="C61" s="5" t="inlineStr">
        <is>
          <t>CI/CD</t>
        </is>
      </c>
      <c r="D61" s="5" t="inlineStr">
        <is>
          <t>CI: backend pytest + frontend unit tests on PR</t>
        </is>
      </c>
      <c r="E61" s="9" t="inlineStr">
        <is>
          <t>High</t>
        </is>
      </c>
      <c r="F61" s="4" t="inlineStr">
        <is>
          <t>S</t>
        </is>
      </c>
      <c r="G61" s="5" t="inlineStr">
        <is>
          <t>backend/tests; frontend</t>
        </is>
      </c>
      <c r="H61" s="5" t="inlineStr">
        <is>
          <t>Green gate to deploy</t>
        </is>
      </c>
      <c r="I61" s="5" t="inlineStr">
        <is>
          <t>PR blocked on test failure</t>
        </is>
      </c>
      <c r="J61" s="4" t="inlineStr">
        <is>
          <t>Not Started</t>
        </is>
      </c>
      <c r="K61" s="5" t="inlineStr"/>
      <c r="L61" s="5" t="inlineStr"/>
    </row>
    <row r="62">
      <c r="A62" s="7" t="inlineStr">
        <is>
          <t>P5</t>
        </is>
      </c>
      <c r="B62" s="7" t="inlineStr">
        <is>
          <t>I5.6</t>
        </is>
      </c>
      <c r="C62" s="8" t="inlineStr">
        <is>
          <t>Testing</t>
        </is>
      </c>
      <c r="D62" s="8" t="inlineStr">
        <is>
          <t>Integration tests for auth, plan gating, publish flows</t>
        </is>
      </c>
      <c r="E62" s="9" t="inlineStr">
        <is>
          <t>High</t>
        </is>
      </c>
      <c r="F62" s="7" t="inlineStr">
        <is>
          <t>M</t>
        </is>
      </c>
      <c r="G62" s="8" t="inlineStr">
        <is>
          <t>backend/tests</t>
        </is>
      </c>
      <c r="H62" s="8" t="inlineStr">
        <is>
          <t>Cover security-sensitive paths</t>
        </is>
      </c>
      <c r="I62" s="8" t="inlineStr">
        <is>
          <t>Critical flows covered</t>
        </is>
      </c>
      <c r="J62" s="7" t="inlineStr">
        <is>
          <t>Not Started</t>
        </is>
      </c>
      <c r="K62" s="8" t="inlineStr"/>
      <c r="L62" s="8" t="inlineStr"/>
    </row>
    <row r="63">
      <c r="A63" s="4" t="inlineStr">
        <is>
          <t>P5</t>
        </is>
      </c>
      <c r="B63" s="4" t="inlineStr">
        <is>
          <t>I5.7</t>
        </is>
      </c>
      <c r="C63" s="5" t="inlineStr">
        <is>
          <t>Observability</t>
        </is>
      </c>
      <c r="D63" s="5" t="inlineStr">
        <is>
          <t>Uptime monitoring + alerting on /health readiness</t>
        </is>
      </c>
      <c r="E63" s="10" t="inlineStr">
        <is>
          <t>Medium</t>
        </is>
      </c>
      <c r="F63" s="4" t="inlineStr">
        <is>
          <t>S</t>
        </is>
      </c>
      <c r="G63" s="5" t="inlineStr">
        <is>
          <t>routes/health.py</t>
        </is>
      </c>
      <c r="H63" s="5" t="inlineStr">
        <is>
          <t>External monitor + alerts</t>
        </is>
      </c>
      <c r="I63" s="5" t="inlineStr">
        <is>
          <t>Downtime pages on-call</t>
        </is>
      </c>
      <c r="J63" s="4" t="inlineStr">
        <is>
          <t>Not Started</t>
        </is>
      </c>
      <c r="K63" s="5" t="inlineStr"/>
      <c r="L63" s="5" t="inlineStr"/>
    </row>
    <row r="64" ht="20" customHeight="1">
      <c r="A64" s="3" t="inlineStr">
        <is>
          <t>PHASE 6 — Launch Readiness</t>
        </is>
      </c>
    </row>
    <row r="65">
      <c r="A65" s="4" t="inlineStr">
        <is>
          <t>P6</t>
        </is>
      </c>
      <c r="B65" s="4" t="inlineStr">
        <is>
          <t>L6.1</t>
        </is>
      </c>
      <c r="C65" s="5" t="inlineStr">
        <is>
          <t>Launch</t>
        </is>
      </c>
      <c r="D65" s="5" t="inlineStr">
        <is>
          <t>Load test @ 15 concurrent users / realistic mix</t>
        </is>
      </c>
      <c r="E65" s="9" t="inlineStr">
        <is>
          <t>High</t>
        </is>
      </c>
      <c r="F65" s="4" t="inlineStr">
        <is>
          <t>M</t>
        </is>
      </c>
      <c r="G65" s="5" t="inlineStr">
        <is>
          <t>—</t>
        </is>
      </c>
      <c r="H65" s="5" t="inlineStr">
        <is>
          <t>k6/Locust scenario</t>
        </is>
      </c>
      <c r="I65" s="5" t="inlineStr">
        <is>
          <t>p95 within target, no errors</t>
        </is>
      </c>
      <c r="J65" s="4" t="inlineStr">
        <is>
          <t>Not Started</t>
        </is>
      </c>
      <c r="K65" s="5" t="inlineStr"/>
      <c r="L65" s="5" t="inlineStr"/>
    </row>
    <row r="66">
      <c r="A66" s="7" t="inlineStr">
        <is>
          <t>P6</t>
        </is>
      </c>
      <c r="B66" s="7" t="inlineStr">
        <is>
          <t>L6.2</t>
        </is>
      </c>
      <c r="C66" s="8" t="inlineStr">
        <is>
          <t>Launch</t>
        </is>
      </c>
      <c r="D66" s="8" t="inlineStr">
        <is>
          <t>Security re-scan (verify P0/P1 closed)</t>
        </is>
      </c>
      <c r="E66" s="9" t="inlineStr">
        <is>
          <t>High</t>
        </is>
      </c>
      <c r="F66" s="7" t="inlineStr">
        <is>
          <t>S</t>
        </is>
      </c>
      <c r="G66" s="8" t="inlineStr">
        <is>
          <t>—</t>
        </is>
      </c>
      <c r="H66" s="8" t="inlineStr">
        <is>
          <t>Re-run audit</t>
        </is>
      </c>
      <c r="I66" s="8" t="inlineStr">
        <is>
          <t>No High/Critical open</t>
        </is>
      </c>
      <c r="J66" s="7" t="inlineStr">
        <is>
          <t>Not Started</t>
        </is>
      </c>
      <c r="K66" s="8" t="inlineStr"/>
      <c r="L66" s="8" t="inlineStr"/>
    </row>
    <row r="67">
      <c r="A67" s="4" t="inlineStr">
        <is>
          <t>P6</t>
        </is>
      </c>
      <c r="B67" s="4" t="inlineStr">
        <is>
          <t>L6.3</t>
        </is>
      </c>
      <c r="C67" s="5" t="inlineStr">
        <is>
          <t>Launch</t>
        </is>
      </c>
      <c r="D67" s="5" t="inlineStr">
        <is>
          <t>Runbook + on-call + incident process</t>
        </is>
      </c>
      <c r="E67" s="10" t="inlineStr">
        <is>
          <t>Medium</t>
        </is>
      </c>
      <c r="F67" s="4" t="inlineStr">
        <is>
          <t>S</t>
        </is>
      </c>
      <c r="G67" s="5" t="inlineStr">
        <is>
          <t>docs</t>
        </is>
      </c>
      <c r="H67" s="5" t="inlineStr">
        <is>
          <t>Document runbook</t>
        </is>
      </c>
      <c r="I67" s="5" t="inlineStr">
        <is>
          <t>Runbook reviewed</t>
        </is>
      </c>
      <c r="J67" s="4" t="inlineStr">
        <is>
          <t>Not Started</t>
        </is>
      </c>
      <c r="K67" s="5" t="inlineStr"/>
      <c r="L67" s="5" t="inlineStr"/>
    </row>
    <row r="68">
      <c r="A68" s="7" t="inlineStr">
        <is>
          <t>P6</t>
        </is>
      </c>
      <c r="B68" s="7" t="inlineStr">
        <is>
          <t>L6.4</t>
        </is>
      </c>
      <c r="C68" s="8" t="inlineStr">
        <is>
          <t>Launch</t>
        </is>
      </c>
      <c r="D68" s="8" t="inlineStr">
        <is>
          <t>Disaster recovery drill (restore from backup)</t>
        </is>
      </c>
      <c r="E68" s="9" t="inlineStr">
        <is>
          <t>High</t>
        </is>
      </c>
      <c r="F68" s="7" t="inlineStr">
        <is>
          <t>S</t>
        </is>
      </c>
      <c r="G68" s="8" t="inlineStr">
        <is>
          <t>Atlas</t>
        </is>
      </c>
      <c r="H68" s="8" t="inlineStr">
        <is>
          <t>Restore drill</t>
        </is>
      </c>
      <c r="I68" s="8" t="inlineStr">
        <is>
          <t>RTO/RPO verified</t>
        </is>
      </c>
      <c r="J68" s="7" t="inlineStr">
        <is>
          <t>Not Started</t>
        </is>
      </c>
      <c r="K68" s="8" t="inlineStr"/>
      <c r="L68" s="8" t="inlineStr"/>
    </row>
    <row r="69">
      <c r="A69" s="4" t="inlineStr">
        <is>
          <t>P6</t>
        </is>
      </c>
      <c r="B69" s="4" t="inlineStr">
        <is>
          <t>L6.5</t>
        </is>
      </c>
      <c r="C69" s="5" t="inlineStr">
        <is>
          <t>Launch</t>
        </is>
      </c>
      <c r="D69" s="5" t="inlineStr">
        <is>
          <t>Data retention &amp; privacy review (account deletion purges data)</t>
        </is>
      </c>
      <c r="E69" s="10" t="inlineStr">
        <is>
          <t>Medium</t>
        </is>
      </c>
      <c r="F69" s="4" t="inlineStr">
        <is>
          <t>M</t>
        </is>
      </c>
      <c r="G69" s="5" t="inlineStr">
        <is>
          <t>routes/profile.py</t>
        </is>
      </c>
      <c r="H69" s="5" t="inlineStr">
        <is>
          <t>Verify deletion end-to-end</t>
        </is>
      </c>
      <c r="I69" s="5" t="inlineStr">
        <is>
          <t>Deleted account leaves no data</t>
        </is>
      </c>
      <c r="J69" s="4" t="inlineStr">
        <is>
          <t>Not Started</t>
        </is>
      </c>
      <c r="K69" s="5" t="inlineStr"/>
      <c r="L69" s="5" t="inlineStr"/>
    </row>
  </sheetData>
  <autoFilter ref="A2:L69"/>
  <mergeCells count="8">
    <mergeCell ref="A26:L26"/>
    <mergeCell ref="A64:L64"/>
    <mergeCell ref="A47:L47"/>
    <mergeCell ref="A1:L1"/>
    <mergeCell ref="A9:L9"/>
    <mergeCell ref="A56:L56"/>
    <mergeCell ref="A3:L3"/>
    <mergeCell ref="A35:L35"/>
  </mergeCells>
  <dataValidations count="1">
    <dataValidation sqref="J4 J5 J6 J7 J8 J10 J11 J12 J13 J14 J15 J16 J17 J18 J19 J20 J21 J22 J23 J24 J25 J27 J28 J29 J30 J31 J32 J33 J34 J36 J37 J38 J39 J40 J41 J42 J43 J44 J45 J46 J48 J49 J50 J51 J52 J53 J54 J55 J57 J58 J59 J60 J61 J62 J63 J65 J66 J67 J68 J69" showDropDown="0" showInputMessage="0" showErrorMessage="0" allowBlank="1" type="list">
      <formula1>"Not Started,In Progress,Blocked,In Review,Done,Deferred"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0" customWidth="1" min="1" max="1"/>
    <col width="14" customWidth="1" min="2" max="2"/>
    <col width="14" customWidth="1" min="3" max="3"/>
  </cols>
  <sheetData>
    <row r="1" ht="24" customHeight="1">
      <c r="A1" s="12" t="inlineStr">
        <is>
          <t>Progress Dashboard</t>
        </is>
      </c>
    </row>
    <row r="3">
      <c r="A3" s="13" t="inlineStr">
        <is>
          <t>By Status</t>
        </is>
      </c>
      <c r="B3" s="13" t="inlineStr">
        <is>
          <t>Count</t>
        </is>
      </c>
    </row>
    <row r="4">
      <c r="A4" s="14" t="inlineStr">
        <is>
          <t>Not Started</t>
        </is>
      </c>
      <c r="B4" s="14">
        <f>COUNTIF(Backlog!$J$3:$J$70,"Not Started")</f>
        <v/>
      </c>
    </row>
    <row r="5">
      <c r="A5" s="14" t="inlineStr">
        <is>
          <t>In Progress</t>
        </is>
      </c>
      <c r="B5" s="14">
        <f>COUNTIF(Backlog!$J$3:$J$70,"In Progress")</f>
        <v/>
      </c>
    </row>
    <row r="6">
      <c r="A6" s="14" t="inlineStr">
        <is>
          <t>Blocked</t>
        </is>
      </c>
      <c r="B6" s="14">
        <f>COUNTIF(Backlog!$J$3:$J$70,"Blocked")</f>
        <v/>
      </c>
    </row>
    <row r="7">
      <c r="A7" s="14" t="inlineStr">
        <is>
          <t>In Review</t>
        </is>
      </c>
      <c r="B7" s="14">
        <f>COUNTIF(Backlog!$J$3:$J$70,"In Review")</f>
        <v/>
      </c>
    </row>
    <row r="8">
      <c r="A8" s="14" t="inlineStr">
        <is>
          <t>Done</t>
        </is>
      </c>
      <c r="B8" s="14">
        <f>COUNTIF(Backlog!$J$3:$J$70,"Done")</f>
        <v/>
      </c>
    </row>
    <row r="9">
      <c r="A9" s="14" t="inlineStr">
        <is>
          <t>Deferred</t>
        </is>
      </c>
      <c r="B9" s="14">
        <f>COUNTIF(Backlog!$J$3:$J$70,"Deferred")</f>
        <v/>
      </c>
    </row>
    <row r="10">
      <c r="A10" s="13" t="inlineStr">
        <is>
          <t>TOTAL TASKS</t>
        </is>
      </c>
      <c r="B10" s="13">
        <f>COUNTA(Backlog!$B$3:$B$70)-COUNTBLANK(Backlog!$B$3:$B$70)</f>
        <v/>
      </c>
    </row>
    <row r="12">
      <c r="A12" s="13" t="inlineStr">
        <is>
          <t>% Complete</t>
        </is>
      </c>
      <c r="B12" s="15">
        <f>IFERROR(COUNTIF(Backlog!$J$3:$J$70,"Done")/B10,0)</f>
        <v/>
      </c>
    </row>
    <row r="15">
      <c r="A15" s="13" t="inlineStr">
        <is>
          <t>By Phase</t>
        </is>
      </c>
      <c r="B15" s="13" t="inlineStr">
        <is>
          <t>Total</t>
        </is>
      </c>
      <c r="C15" s="13" t="inlineStr">
        <is>
          <t>Done</t>
        </is>
      </c>
    </row>
    <row r="16">
      <c r="A16" s="14" t="inlineStr">
        <is>
          <t>PHASE 0 — Critical Security (stop-the-bleed)</t>
        </is>
      </c>
      <c r="B16" s="14">
        <f>COUNTIFS(Backlog!$A$3:$A$70,"P0",Backlog!$J$3:$J$70,"&lt;&gt;")</f>
        <v/>
      </c>
      <c r="C16" s="14">
        <f>COUNTIFS(Backlog!$A$3:$A$70,"P0",Backlog!$J$3:$J$70,"Done")</f>
        <v/>
      </c>
    </row>
    <row r="17">
      <c r="A17" s="14" t="inlineStr">
        <is>
          <t>PHASE 1 — Security Hardening</t>
        </is>
      </c>
      <c r="B17" s="14">
        <f>COUNTIFS(Backlog!$A$3:$A$70,"P1",Backlog!$J$3:$J$70,"&lt;&gt;")</f>
        <v/>
      </c>
      <c r="C17" s="14">
        <f>COUNTIFS(Backlog!$A$3:$A$70,"P1",Backlog!$J$3:$J$70,"Done")</f>
        <v/>
      </c>
    </row>
    <row r="18">
      <c r="A18" s="14" t="inlineStr">
        <is>
          <t>PHASE 2 — Performance Quick Wins</t>
        </is>
      </c>
      <c r="B18" s="14">
        <f>COUNTIFS(Backlog!$A$3:$A$70,"P2",Backlog!$J$3:$J$70,"&lt;&gt;")</f>
        <v/>
      </c>
      <c r="C18" s="14">
        <f>COUNTIFS(Backlog!$A$3:$A$70,"P2",Backlog!$J$3:$J$70,"Done")</f>
        <v/>
      </c>
    </row>
    <row r="19">
      <c r="A19" s="14" t="inlineStr">
        <is>
          <t>PHASE 3 — Infrastructure for ~50 Users</t>
        </is>
      </c>
      <c r="B19" s="14">
        <f>COUNTIFS(Backlog!$A$3:$A$70,"P3",Backlog!$J$3:$J$70,"&lt;&gt;")</f>
        <v/>
      </c>
      <c r="C19" s="14">
        <f>COUNTIFS(Backlog!$A$3:$A$70,"P3",Backlog!$J$3:$J$70,"Done")</f>
        <v/>
      </c>
    </row>
    <row r="20">
      <c r="A20" s="14" t="inlineStr">
        <is>
          <t>PHASE 4 — Structural Refactor (data / OOP layer)</t>
        </is>
      </c>
      <c r="B20" s="14">
        <f>COUNTIFS(Backlog!$A$3:$A$70,"P4",Backlog!$J$3:$J$70,"&lt;&gt;")</f>
        <v/>
      </c>
      <c r="C20" s="14">
        <f>COUNTIFS(Backlog!$A$3:$A$70,"P4",Backlog!$J$3:$J$70,"Done")</f>
        <v/>
      </c>
    </row>
    <row r="21">
      <c r="A21" s="14" t="inlineStr">
        <is>
          <t>PHASE 5 — Observability, Testing &amp; CI</t>
        </is>
      </c>
      <c r="B21" s="14">
        <f>COUNTIFS(Backlog!$A$3:$A$70,"P5",Backlog!$J$3:$J$70,"&lt;&gt;")</f>
        <v/>
      </c>
      <c r="C21" s="14">
        <f>COUNTIFS(Backlog!$A$3:$A$70,"P5",Backlog!$J$3:$J$70,"Done")</f>
        <v/>
      </c>
    </row>
    <row r="22">
      <c r="A22" s="14" t="inlineStr">
        <is>
          <t>PHASE 6 — Launch Readiness</t>
        </is>
      </c>
      <c r="B22" s="14">
        <f>COUNTIFS(Backlog!$A$3:$A$70,"P6",Backlog!$J$3:$J$70,"&lt;&gt;")</f>
        <v/>
      </c>
      <c r="C22" s="14">
        <f>COUNTIFS(Backlog!$A$3:$A$70,"P6",Backlog!$J$3:$J$70,"Done")</f>
        <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0" customWidth="1" min="1" max="1"/>
    <col width="70" customWidth="1" min="2" max="2"/>
  </cols>
  <sheetData>
    <row r="1">
      <c r="A1" s="12" t="inlineStr">
        <is>
          <t>Legend &amp; Conventions</t>
        </is>
      </c>
    </row>
    <row r="3">
      <c r="A3" s="13" t="inlineStr">
        <is>
          <t>Severity</t>
        </is>
      </c>
      <c r="B3" s="16" t="inlineStr"/>
    </row>
    <row r="4">
      <c r="A4" s="17" t="inlineStr">
        <is>
          <t>Critical</t>
        </is>
      </c>
      <c r="B4" s="16" t="inlineStr">
        <is>
          <t>Exploitable now / secrets exposed — fix before anything else</t>
        </is>
      </c>
    </row>
    <row r="5">
      <c r="A5" s="18" t="inlineStr">
        <is>
          <t>High</t>
        </is>
      </c>
      <c r="B5" s="16" t="inlineStr">
        <is>
          <t>Serious risk or large perf/scale impact — Phase 0/1/2</t>
        </is>
      </c>
    </row>
    <row r="6">
      <c r="A6" s="19" t="inlineStr">
        <is>
          <t>Medium</t>
        </is>
      </c>
      <c r="B6" s="16" t="inlineStr">
        <is>
          <t>Important, bounded impact — schedule within phase</t>
        </is>
      </c>
    </row>
    <row r="7">
      <c r="A7" s="20" t="inlineStr">
        <is>
          <t>Low</t>
        </is>
      </c>
      <c r="B7" s="16" t="inlineStr">
        <is>
          <t>Cleanup / future-proofing</t>
        </is>
      </c>
    </row>
    <row r="8">
      <c r="A8" t="inlineStr"/>
      <c r="B8" s="16" t="inlineStr"/>
    </row>
    <row r="9">
      <c r="A9" s="13" t="inlineStr">
        <is>
          <t>Effort</t>
        </is>
      </c>
      <c r="B9" s="16" t="inlineStr"/>
    </row>
    <row r="10">
      <c r="A10" t="inlineStr">
        <is>
          <t>S</t>
        </is>
      </c>
      <c r="B10" s="16" t="inlineStr">
        <is>
          <t>Small — &lt; 1 day</t>
        </is>
      </c>
    </row>
    <row r="11">
      <c r="A11" t="inlineStr">
        <is>
          <t>M</t>
        </is>
      </c>
      <c r="B11" s="16" t="inlineStr">
        <is>
          <t>Medium — 1-3 days</t>
        </is>
      </c>
    </row>
    <row r="12">
      <c r="A12" t="inlineStr">
        <is>
          <t>L</t>
        </is>
      </c>
      <c r="B12" s="16" t="inlineStr">
        <is>
          <t>Large — 1 week+</t>
        </is>
      </c>
    </row>
    <row r="13">
      <c r="A13" t="inlineStr"/>
      <c r="B13" s="16" t="inlineStr"/>
    </row>
    <row r="14">
      <c r="A14" s="13" t="inlineStr">
        <is>
          <t>Status values</t>
        </is>
      </c>
      <c r="B14" s="16" t="inlineStr">
        <is>
          <t>Not Started, In Progress, Blocked, In Review, Done, Deferred</t>
        </is>
      </c>
    </row>
    <row r="15">
      <c r="A15" t="inlineStr">
        <is>
          <t>ID prefix S</t>
        </is>
      </c>
      <c r="B15" s="16" t="inlineStr">
        <is>
          <t>Security item (see RIVISO_PRODUCTION_HARDENING_PLAN.md §A)</t>
        </is>
      </c>
    </row>
    <row r="16">
      <c r="A16" t="inlineStr">
        <is>
          <t>ID prefix P2/P4</t>
        </is>
      </c>
      <c r="B16" s="16" t="inlineStr">
        <is>
          <t>Performance item (see RIVISO_PERFORMANCE_OPTIMIZATION_AUDIT.md)</t>
        </is>
      </c>
    </row>
    <row r="17">
      <c r="A17" t="inlineStr">
        <is>
          <t>ID prefix I</t>
        </is>
      </c>
      <c r="B17" s="16" t="inlineStr">
        <is>
          <t>Infrastructure / Ops item</t>
        </is>
      </c>
    </row>
    <row r="18">
      <c r="A18" t="inlineStr">
        <is>
          <t>ID prefix L</t>
        </is>
      </c>
      <c r="B18" s="16" t="inlineStr">
        <is>
          <t>Launch readiness item</t>
        </is>
      </c>
    </row>
    <row r="19">
      <c r="A19" t="inlineStr">
        <is>
          <t>Evidence</t>
        </is>
      </c>
      <c r="B19" s="16" t="inlineStr">
        <is>
          <t>Backend paths are relative to backend/app unless app.py/storage.py/database.py (repo root)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2026-05-31T12:12:06Z</dcterms:created>
  <dcterms:modified xmlns:dcterms="http://purl.org/dc/terms/" xmlns:xsi="http://www.w3.org/2001/XMLSchema-instance" xsi:type="dcterms:W3CDTF">2026-05-31T12:12:06Z</dcterms:modified>
</cp:coreProperties>
</file>